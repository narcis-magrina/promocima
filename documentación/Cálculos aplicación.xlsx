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rcismagrinabalcells/Dropbox/1 - OFICINA/1-PROMOCIMA/02-CAPITAL PRIVADO/30 - Desarrollo/Préstamos/Claude Pro/promocima/documentación/"/>
    </mc:Choice>
  </mc:AlternateContent>
  <xr:revisionPtr revIDLastSave="0" documentId="13_ncr:1_{BBB939F5-A04A-2249-93F9-6596AB38C1B4}" xr6:coauthVersionLast="47" xr6:coauthVersionMax="47" xr10:uidLastSave="{00000000-0000-0000-0000-000000000000}"/>
  <bookViews>
    <workbookView xWindow="23960" yWindow="7680" windowWidth="27240" windowHeight="16440" xr2:uid="{7DA0983C-EA6B-584E-90AC-C5A5D261DBFA}"/>
  </bookViews>
  <sheets>
    <sheet name="Cálculo pag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  <c r="C8" i="1"/>
  <c r="C4" i="1"/>
  <c r="C5" i="1" s="1"/>
  <c r="C10" i="1" s="1"/>
  <c r="C13" i="1" l="1"/>
  <c r="C18" i="1" s="1"/>
  <c r="C15" i="1" l="1"/>
  <c r="C16" i="1" s="1"/>
</calcChain>
</file>

<file path=xl/sharedStrings.xml><?xml version="1.0" encoding="utf-8"?>
<sst xmlns="http://schemas.openxmlformats.org/spreadsheetml/2006/main" count="16" uniqueCount="16">
  <si>
    <t>Préstamo</t>
  </si>
  <si>
    <t>Participación</t>
  </si>
  <si>
    <t>Interés ordinario</t>
  </si>
  <si>
    <t>Intereses anuales</t>
  </si>
  <si>
    <t>% gestión</t>
  </si>
  <si>
    <t xml:space="preserve">Gestión </t>
  </si>
  <si>
    <t>Intereses mensuales (habitual)</t>
  </si>
  <si>
    <t>Devengado mensual habitual</t>
  </si>
  <si>
    <t>Bruto</t>
  </si>
  <si>
    <t>% IRPF</t>
  </si>
  <si>
    <t>IRPF</t>
  </si>
  <si>
    <t>Neto</t>
  </si>
  <si>
    <t>% participación</t>
  </si>
  <si>
    <t>Rentabilidad anualizada partícipe</t>
  </si>
  <si>
    <t>Factor de este mes</t>
  </si>
  <si>
    <t>Este factor responde a la cantidad de días que hay que pagar (puede ser distinto de 1 en los 2 primeros pagos)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</si>
</sst>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2" formatCode="_-* #,##0\ &quot;€&quot;_-;\-* #,##0\ &quot;€&quot;_-;_-* &quot;-&quot;\ &quot;€&quot;_-;_-@_-"/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;\(#,##0\);\-"/>
    <numFmt numFmtId="165" formatCode="0\ &quot;A&quot;"/>
    <numFmt numFmtId="166" formatCode="0\ &quot;E&quot;"/>
    <numFmt numFmtId="167" formatCode="0&quot;x&quot;"/>
    <numFmt numFmtId="168" formatCode="0.0%;\(0.0%\);\-"/>
    <numFmt numFmtId="169" formatCode="_-* #,##0.00\ [$€-C0A]_-;\-* #,##0.00\ [$€-C0A]_-;_-* &quot;-&quot;??\ [$€-C0A]_-;_-@_-"/>
    <numFmt numFmtId="170" formatCode="#,##0.00;\(#,##0.00\);\-"/>
    <numFmt numFmtId="171" formatCode="#,##0.00000;\(#,##0.00000\);\-"/>
  </numFmts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7030A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rgb="FF00B05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61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4" applyNumberFormat="0" applyAlignment="0" applyProtection="0"/>
    <xf numFmtId="0" fontId="7" fillId="3" borderId="5" applyNumberFormat="0" applyAlignment="0" applyProtection="0"/>
    <xf numFmtId="0" fontId="8" fillId="3" borderId="4" applyNumberFormat="0" applyAlignment="0" applyProtection="0"/>
    <xf numFmtId="0" fontId="9" fillId="0" borderId="6" applyNumberFormat="0" applyFill="0" applyAlignment="0" applyProtection="0"/>
    <xf numFmtId="0" fontId="10" fillId="4" borderId="7" applyNumberFormat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8" applyNumberFormat="0" applyFill="0" applyAlignment="0" applyProtection="0"/>
    <xf numFmtId="0" fontId="14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4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4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4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4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164" fontId="1" fillId="0" borderId="0" applyFont="0" applyFill="0" applyBorder="0" applyAlignment="0" applyProtection="0"/>
    <xf numFmtId="164" fontId="15" fillId="5" borderId="0" applyNumberFormat="0" applyAlignment="0" applyProtection="0"/>
    <xf numFmtId="164" fontId="10" fillId="30" borderId="0" applyNumberFormat="0" applyAlignment="0" applyProtection="0"/>
    <xf numFmtId="0" fontId="17" fillId="0" borderId="0" applyNumberFormat="0" applyFill="0" applyBorder="0" applyAlignment="0" applyProtection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6" fillId="31" borderId="9" applyNumberFormat="0" applyAlignment="0" applyProtection="0"/>
    <xf numFmtId="0" fontId="10" fillId="32" borderId="0" applyNumberFormat="0" applyAlignment="0" applyProtection="0"/>
    <xf numFmtId="0" fontId="18" fillId="33" borderId="0" applyNumberFormat="0" applyBorder="0" applyProtection="0">
      <alignment horizontal="centerContinuous"/>
    </xf>
    <xf numFmtId="0" fontId="13" fillId="34" borderId="0" applyNumberFormat="0" applyBorder="0" applyAlignment="0" applyProtection="0"/>
    <xf numFmtId="0" fontId="10" fillId="35" borderId="0" applyNumberFormat="0" applyBorder="0" applyAlignment="0" applyProtection="0"/>
    <xf numFmtId="0" fontId="19" fillId="0" borderId="0" applyNumberFormat="0" applyFill="0" applyBorder="0" applyAlignment="0" applyProtection="0"/>
    <xf numFmtId="0" fontId="10" fillId="30" borderId="10" applyNumberFormat="0" applyAlignment="0" applyProtection="0"/>
    <xf numFmtId="164" fontId="1" fillId="0" borderId="0" applyFont="0" applyFill="0" applyBorder="0" applyAlignment="0" applyProtection="0"/>
    <xf numFmtId="0" fontId="1" fillId="5" borderId="11" applyNumberFormat="0" applyBorder="0" applyAlignment="0" applyProtection="0"/>
  </cellStyleXfs>
  <cellXfs count="11">
    <xf numFmtId="0" fontId="0" fillId="0" borderId="0" xfId="0"/>
    <xf numFmtId="0" fontId="0" fillId="36" borderId="0" xfId="0" applyFill="1"/>
    <xf numFmtId="169" fontId="0" fillId="36" borderId="0" xfId="0" applyNumberFormat="1" applyFill="1"/>
    <xf numFmtId="164" fontId="15" fillId="5" borderId="0" xfId="44"/>
    <xf numFmtId="9" fontId="15" fillId="5" borderId="0" xfId="44" applyNumberFormat="1"/>
    <xf numFmtId="0" fontId="10" fillId="30" borderId="0" xfId="45" applyNumberFormat="1"/>
    <xf numFmtId="164" fontId="0" fillId="36" borderId="0" xfId="59" applyFont="1" applyFill="1"/>
    <xf numFmtId="9" fontId="0" fillId="36" borderId="0" xfId="0" applyNumberFormat="1" applyFill="1"/>
    <xf numFmtId="170" fontId="0" fillId="36" borderId="0" xfId="59" applyNumberFormat="1" applyFont="1" applyFill="1"/>
    <xf numFmtId="168" fontId="0" fillId="36" borderId="0" xfId="50" applyFont="1" applyFill="1"/>
    <xf numFmtId="171" fontId="15" fillId="5" borderId="0" xfId="44" applyNumberFormat="1"/>
  </cellXfs>
  <cellStyles count="61">
    <cellStyle name="(0.000)" xfId="59" xr:uid="{360A8815-3031-C74A-BE38-C64C70964821}"/>
    <cellStyle name="0x" xfId="49" xr:uid="{C4D2F5BE-2797-2241-9F16-3312A6A0E693}"/>
    <cellStyle name="20% - Énfasis1" xfId="20" builtinId="30" hidden="1"/>
    <cellStyle name="20% - Énfasis2" xfId="24" builtinId="34" hidden="1"/>
    <cellStyle name="20% - Énfasis3" xfId="28" builtinId="38" hidden="1"/>
    <cellStyle name="20% - Énfasis4" xfId="32" builtinId="42" hidden="1"/>
    <cellStyle name="20% - Énfasis5" xfId="36" builtinId="46" hidden="1"/>
    <cellStyle name="20% - Énfasis6" xfId="40" builtinId="50" hidden="1"/>
    <cellStyle name="40% - Énfasis1" xfId="21" builtinId="31" hidden="1"/>
    <cellStyle name="40% - Énfasis2" xfId="25" builtinId="35" hidden="1"/>
    <cellStyle name="40% - Énfasis3" xfId="29" builtinId="39" hidden="1"/>
    <cellStyle name="40% - Énfasis4" xfId="33" builtinId="43" hidden="1"/>
    <cellStyle name="40% - Énfasis5" xfId="37" builtinId="47" hidden="1"/>
    <cellStyle name="40% - Énfasis6" xfId="41" builtinId="51" hidden="1"/>
    <cellStyle name="60% - Énfasis1" xfId="22" builtinId="32" hidden="1"/>
    <cellStyle name="60% - Énfasis2" xfId="26" builtinId="36" hidden="1"/>
    <cellStyle name="60% - Énfasis3" xfId="30" builtinId="40" hidden="1"/>
    <cellStyle name="60% - Énfasis4" xfId="34" builtinId="44" hidden="1"/>
    <cellStyle name="60% - Énfasis5" xfId="38" builtinId="48" hidden="1"/>
    <cellStyle name="60% - Énfasis6" xfId="42" builtinId="52" hidden="1"/>
    <cellStyle name="Actual" xfId="47" xr:uid="{1AE5DA5B-8577-1E41-9C25-4BFDC633CDA0}"/>
    <cellStyle name="Cálculo" xfId="13" builtinId="22" hidden="1"/>
    <cellStyle name="Celda de comprobación" xfId="15" builtinId="23" hidden="1"/>
    <cellStyle name="Celda vinculada" xfId="14" builtinId="24" hidden="1"/>
    <cellStyle name="Edición" xfId="44" xr:uid="{C7E9FA89-6C32-4948-AACC-6E719B3BB6DD}"/>
    <cellStyle name="Encabezado 1" xfId="7" builtinId="16" hidden="1"/>
    <cellStyle name="Encabezado 4" xfId="10" builtinId="19" hidden="1"/>
    <cellStyle name="Énfasis1" xfId="19" builtinId="29" hidden="1"/>
    <cellStyle name="Énfasis2" xfId="23" builtinId="33" hidden="1"/>
    <cellStyle name="Énfasis3" xfId="27" builtinId="37" hidden="1"/>
    <cellStyle name="Énfasis4" xfId="31" builtinId="41" hidden="1"/>
    <cellStyle name="Énfasis5" xfId="35" builtinId="45" hidden="1"/>
    <cellStyle name="Énfasis6" xfId="39" builtinId="49" hidden="1"/>
    <cellStyle name="Entrada" xfId="11" builtinId="20" hidden="1"/>
    <cellStyle name="Estimate" xfId="48" xr:uid="{CEA57298-B115-1048-BD3B-BEE65D4FDFAD}"/>
    <cellStyle name="Importado" xfId="46" xr:uid="{81BECCC5-E4E2-DD41-8AA7-98D9064B219C}"/>
    <cellStyle name="Millares" xfId="1" builtinId="3" hidden="1"/>
    <cellStyle name="Millares" xfId="43" xr:uid="{4CB3B6F5-CDEA-5B4A-9725-4544E6C3E959}"/>
    <cellStyle name="Millares [0]" xfId="2" builtinId="6" hidden="1"/>
    <cellStyle name="Moneda" xfId="3" builtinId="4" hidden="1"/>
    <cellStyle name="Moneda [0]" xfId="4" builtinId="7" hidden="1"/>
    <cellStyle name="Normal" xfId="0" builtinId="0"/>
    <cellStyle name="Notas" xfId="60" builtinId="10" customBuiltin="1"/>
    <cellStyle name="Porcentaje" xfId="5" builtinId="5" hidden="1"/>
    <cellStyle name="Porcentaje" xfId="50" xr:uid="{8CFD7DDB-57D2-A747-8106-9DA6F23A44BA}"/>
    <cellStyle name="Ratio" xfId="51" xr:uid="{5F885D09-6C27-D040-AE01-46E7C0994C53}"/>
    <cellStyle name="Referencia" xfId="57" xr:uid="{719B5A24-A0C5-6846-8C01-9C891358188C}"/>
    <cellStyle name="Revisar" xfId="55" xr:uid="{D9057262-D2EE-5142-909B-861008F12610}"/>
    <cellStyle name="Salida" xfId="12" builtinId="21" hidden="1"/>
    <cellStyle name="Seguir aquí" xfId="56" xr:uid="{EDAB289F-CF0A-4947-8E16-927D39093D92}"/>
    <cellStyle name="Subtítulo" xfId="53" xr:uid="{B5245067-A6D1-814A-BB61-87C8937CB0F3}"/>
    <cellStyle name="Subtotal" xfId="52" xr:uid="{B4AC952D-E62E-1448-B86A-A65F58828772}"/>
    <cellStyle name="Super título" xfId="54" xr:uid="{3492EC00-70CB-6343-9106-E67591F5E68A}"/>
    <cellStyle name="Texto de advertencia" xfId="16" builtinId="11" hidden="1"/>
    <cellStyle name="Texto explicativo" xfId="17" builtinId="53" hidden="1"/>
    <cellStyle name="Tit. column." xfId="58" xr:uid="{78E2E715-A7CD-6F4D-B9B4-013548B402F8}"/>
    <cellStyle name="Título" xfId="6" builtinId="15" hidden="1"/>
    <cellStyle name="Título" xfId="45" xr:uid="{EAA398EC-365D-5647-B14F-EC2ADA6B15C4}"/>
    <cellStyle name="Título 2" xfId="8" builtinId="17" hidden="1"/>
    <cellStyle name="Título 3" xfId="9" builtinId="18" hidden="1"/>
    <cellStyle name="Total" xfId="18" builtinId="25" hidde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57CB-41D9-0649-B313-73BD565DE982}">
  <dimension ref="B2:K18"/>
  <sheetViews>
    <sheetView showGridLines="0" tabSelected="1" workbookViewId="0">
      <selection activeCell="M21" sqref="M21"/>
    </sheetView>
  </sheetViews>
  <sheetFormatPr baseColWidth="10" defaultRowHeight="16" x14ac:dyDescent="0.2"/>
  <cols>
    <col min="1" max="1" width="3.33203125" style="1" customWidth="1"/>
    <col min="2" max="2" width="29.5" style="1" bestFit="1" customWidth="1"/>
    <col min="3" max="16384" width="10.83203125" style="1"/>
  </cols>
  <sheetData>
    <row r="2" spans="2:11" x14ac:dyDescent="0.2">
      <c r="B2" s="5" t="s">
        <v>0</v>
      </c>
      <c r="C2" s="3">
        <v>100000</v>
      </c>
    </row>
    <row r="3" spans="2:11" x14ac:dyDescent="0.2">
      <c r="B3" s="5" t="s">
        <v>2</v>
      </c>
      <c r="C3" s="4">
        <v>0.12</v>
      </c>
    </row>
    <row r="4" spans="2:11" x14ac:dyDescent="0.2">
      <c r="B4" s="5" t="s">
        <v>3</v>
      </c>
      <c r="C4" s="6">
        <f>C2*C3</f>
        <v>12000</v>
      </c>
    </row>
    <row r="5" spans="2:11" x14ac:dyDescent="0.2">
      <c r="B5" s="5" t="s">
        <v>6</v>
      </c>
      <c r="C5" s="6">
        <f>C4/12</f>
        <v>1000</v>
      </c>
    </row>
    <row r="7" spans="2:11" x14ac:dyDescent="0.2">
      <c r="B7" s="5" t="s">
        <v>1</v>
      </c>
      <c r="C7" s="3">
        <v>20000</v>
      </c>
    </row>
    <row r="8" spans="2:11" x14ac:dyDescent="0.2">
      <c r="B8" s="5" t="s">
        <v>12</v>
      </c>
      <c r="C8" s="7">
        <f>C7/C2</f>
        <v>0.2</v>
      </c>
      <c r="K8" s="2"/>
    </row>
    <row r="9" spans="2:11" x14ac:dyDescent="0.2">
      <c r="B9" s="5" t="s">
        <v>14</v>
      </c>
      <c r="C9" s="10">
        <v>1</v>
      </c>
      <c r="D9" s="1" t="s">
        <v>15</v>
      </c>
    </row>
    <row r="10" spans="2:11" x14ac:dyDescent="0.2">
      <c r="B10" s="5" t="s">
        <v>7</v>
      </c>
      <c r="C10" s="8">
        <f>C5*C8*C9</f>
        <v>200</v>
      </c>
    </row>
    <row r="11" spans="2:11" x14ac:dyDescent="0.2">
      <c r="B11" s="5" t="s">
        <v>4</v>
      </c>
      <c r="C11" s="4">
        <v>0.02</v>
      </c>
    </row>
    <row r="12" spans="2:11" x14ac:dyDescent="0.2">
      <c r="B12" s="5" t="s">
        <v>5</v>
      </c>
      <c r="C12" s="8">
        <f>C7*C11/12*C9</f>
        <v>33.333333333333336</v>
      </c>
    </row>
    <row r="13" spans="2:11" x14ac:dyDescent="0.2">
      <c r="B13" s="5" t="s">
        <v>8</v>
      </c>
      <c r="C13" s="8">
        <f>C10-C12</f>
        <v>166.66666666666666</v>
      </c>
    </row>
    <row r="14" spans="2:11" x14ac:dyDescent="0.2">
      <c r="B14" s="5" t="s">
        <v>9</v>
      </c>
      <c r="C14" s="4">
        <v>0.19</v>
      </c>
      <c r="D14"/>
      <c r="E14"/>
      <c r="F14"/>
      <c r="G14"/>
      <c r="H14"/>
    </row>
    <row r="15" spans="2:11" x14ac:dyDescent="0.2">
      <c r="B15" s="5" t="s">
        <v>10</v>
      </c>
      <c r="C15" s="8">
        <f>C13*19%</f>
        <v>31.666666666666664</v>
      </c>
      <c r="H15"/>
    </row>
    <row r="16" spans="2:11" x14ac:dyDescent="0.2">
      <c r="B16" s="5" t="s">
        <v>11</v>
      </c>
      <c r="C16" s="8">
        <f>C13-C15</f>
        <v>135</v>
      </c>
      <c r="E16"/>
    </row>
    <row r="18" spans="2:3" x14ac:dyDescent="0.2">
      <c r="B18" s="5" t="s">
        <v>13</v>
      </c>
      <c r="C18" s="9">
        <f>C13*12/C7</f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Cálculo pagos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Narcís Magriñà</dc:creator>
  <cp:lastModifiedBy>Narcís Magriñà</cp:lastModifiedBy>
  <dcterms:created xsi:type="dcterms:W3CDTF">2023-03-02T20:57:13Z</dcterms:created>
  <dcterms:modified xsi:type="dcterms:W3CDTF">2026-02-28T19:05:49Z</dcterms:modified>
</cp:coreProperties>
</file>