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rcismagrinabalcells/Dropbox/1 - OFICINA/1-PROMOCIMA/02-CAPITAL PRIVADO/30 - Desarrollo/Préstamos/Claude Pro/promocima/documentación/"/>
    </mc:Choice>
  </mc:AlternateContent>
  <xr:revisionPtr revIDLastSave="0" documentId="13_ncr:1_{DD5C8CC6-27F6-5949-A567-B2F49F561007}" xr6:coauthVersionLast="47" xr6:coauthVersionMax="47" xr10:uidLastSave="{00000000-0000-0000-0000-000000000000}"/>
  <bookViews>
    <workbookView xWindow="30980" yWindow="1860" windowWidth="26260" windowHeight="19700" activeTab="1" xr2:uid="{7DA0983C-EA6B-584E-90AC-C5A5D261DBFA}"/>
  </bookViews>
  <sheets>
    <sheet name="Cálculo pagos" sheetId="1" r:id="rId1"/>
    <sheet name="Dashboard" sheetId="2" r:id="rId2"/>
    <sheet name="Tabla Préstamos" sheetId="3" r:id="rId3"/>
    <sheet name="Tabla Partícipes" sheetId="5" r:id="rId4"/>
    <sheet name="Tabla Participación CCPP" sheetId="6" r:id="rId5"/>
  </sheets>
  <externalReferences>
    <externalReference r:id="rId6"/>
  </externalReferences>
  <definedNames>
    <definedName name="Dia_Firm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2" l="1"/>
  <c r="F42" i="2"/>
  <c r="F37" i="2"/>
  <c r="F36" i="2"/>
  <c r="F32" i="2"/>
  <c r="F31" i="2"/>
  <c r="C17" i="2"/>
  <c r="L20" i="2"/>
  <c r="L19" i="2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I18" i="2"/>
  <c r="I17" i="2"/>
  <c r="I19" i="2" s="1"/>
  <c r="I20" i="2"/>
  <c r="I21" i="2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2" i="3"/>
  <c r="C23" i="2"/>
  <c r="C22" i="2"/>
  <c r="C21" i="2"/>
  <c r="C4" i="2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F35" i="6"/>
  <c r="D35" i="6"/>
  <c r="F34" i="6"/>
  <c r="D34" i="6"/>
  <c r="F33" i="6"/>
  <c r="D33" i="6"/>
  <c r="F32" i="6"/>
  <c r="D32" i="6"/>
  <c r="F31" i="6"/>
  <c r="D31" i="6"/>
  <c r="F30" i="6"/>
  <c r="D30" i="6"/>
  <c r="F29" i="6"/>
  <c r="D29" i="6"/>
  <c r="F28" i="6"/>
  <c r="D28" i="6"/>
  <c r="F27" i="6"/>
  <c r="D27" i="6"/>
  <c r="F26" i="6"/>
  <c r="D26" i="6"/>
  <c r="F25" i="6"/>
  <c r="D25" i="6"/>
  <c r="F24" i="6"/>
  <c r="D24" i="6"/>
  <c r="F23" i="6"/>
  <c r="D23" i="6"/>
  <c r="F22" i="6"/>
  <c r="D22" i="6"/>
  <c r="F21" i="6"/>
  <c r="D21" i="6"/>
  <c r="F20" i="6"/>
  <c r="D20" i="6"/>
  <c r="F19" i="6"/>
  <c r="D19" i="6"/>
  <c r="F18" i="6"/>
  <c r="D18" i="6"/>
  <c r="F17" i="6"/>
  <c r="D17" i="6"/>
  <c r="F16" i="6"/>
  <c r="D16" i="6"/>
  <c r="F15" i="6"/>
  <c r="D15" i="6"/>
  <c r="F14" i="6"/>
  <c r="D14" i="6"/>
  <c r="F13" i="6"/>
  <c r="D13" i="6"/>
  <c r="F12" i="6"/>
  <c r="D12" i="6"/>
  <c r="F11" i="6"/>
  <c r="D11" i="6"/>
  <c r="F10" i="6"/>
  <c r="D10" i="6"/>
  <c r="F9" i="6"/>
  <c r="D9" i="6"/>
  <c r="F8" i="6"/>
  <c r="D8" i="6"/>
  <c r="F7" i="6"/>
  <c r="D7" i="6"/>
  <c r="F6" i="6"/>
  <c r="D6" i="6"/>
  <c r="F5" i="6"/>
  <c r="D5" i="6"/>
  <c r="F4" i="6"/>
  <c r="D4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G2" i="2"/>
  <c r="F2" i="2"/>
  <c r="Z5" i="3"/>
  <c r="Z6" i="3"/>
  <c r="Z7" i="3"/>
  <c r="Z9" i="3"/>
  <c r="Z10" i="3"/>
  <c r="Z11" i="3"/>
  <c r="Z12" i="3"/>
  <c r="Z13" i="3"/>
  <c r="Z14" i="3"/>
  <c r="Z15" i="3"/>
  <c r="Z17" i="3"/>
  <c r="Z18" i="3"/>
  <c r="Z19" i="3"/>
  <c r="Z21" i="3"/>
  <c r="Z22" i="3"/>
  <c r="Z23" i="3"/>
  <c r="Z24" i="3"/>
  <c r="Z25" i="3"/>
  <c r="Z26" i="3"/>
  <c r="Z27" i="3"/>
  <c r="Z28" i="3"/>
  <c r="Z29" i="3"/>
  <c r="Z31" i="3"/>
  <c r="Z33" i="3"/>
  <c r="Z34" i="3"/>
  <c r="Z35" i="3"/>
  <c r="Z36" i="3"/>
  <c r="Z37" i="3"/>
  <c r="Z39" i="3"/>
  <c r="Z40" i="3"/>
  <c r="Z41" i="3"/>
  <c r="Z42" i="3"/>
  <c r="Z43" i="3"/>
  <c r="Z45" i="3"/>
  <c r="Z46" i="3"/>
  <c r="Z47" i="3"/>
  <c r="Z48" i="3"/>
  <c r="Z49" i="3"/>
  <c r="Z50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F14" i="2" l="1"/>
  <c r="F10" i="2"/>
  <c r="F19" i="2" s="1"/>
  <c r="F13" i="2"/>
  <c r="C2" i="2"/>
  <c r="F20" i="2" l="1"/>
  <c r="Y5" i="3" l="1"/>
  <c r="Y6" i="3"/>
  <c r="Y7" i="3"/>
  <c r="Y8" i="3"/>
  <c r="Y9" i="3"/>
  <c r="Y10" i="3"/>
  <c r="Y11" i="3"/>
  <c r="Y12" i="3"/>
  <c r="Y13" i="3"/>
  <c r="Y14" i="3"/>
  <c r="Y15" i="3"/>
  <c r="Y16" i="3"/>
  <c r="Z16" i="3" s="1"/>
  <c r="Y17" i="3"/>
  <c r="Y18" i="3"/>
  <c r="Y19" i="3"/>
  <c r="Y20" i="3"/>
  <c r="Z20" i="3" s="1"/>
  <c r="Y21" i="3"/>
  <c r="Y22" i="3"/>
  <c r="Y23" i="3"/>
  <c r="Y24" i="3"/>
  <c r="Y25" i="3"/>
  <c r="Y26" i="3"/>
  <c r="Y27" i="3"/>
  <c r="Y28" i="3"/>
  <c r="Y29" i="3"/>
  <c r="Y30" i="3"/>
  <c r="Z30" i="3" s="1"/>
  <c r="Y31" i="3"/>
  <c r="Y32" i="3"/>
  <c r="Z32" i="3" s="1"/>
  <c r="Y33" i="3"/>
  <c r="Y34" i="3"/>
  <c r="Y35" i="3"/>
  <c r="Y36" i="3"/>
  <c r="Y37" i="3"/>
  <c r="Y38" i="3"/>
  <c r="Z38" i="3" s="1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Z51" i="3" s="1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Z2" i="3"/>
  <c r="Z8" i="3" l="1"/>
  <c r="G41" i="6"/>
  <c r="H35" i="6"/>
  <c r="M35" i="6" s="1"/>
  <c r="H34" i="6"/>
  <c r="M34" i="6" s="1"/>
  <c r="H33" i="6"/>
  <c r="M33" i="6" s="1"/>
  <c r="H32" i="6"/>
  <c r="M32" i="6" s="1"/>
  <c r="H31" i="6"/>
  <c r="M31" i="6" s="1"/>
  <c r="H30" i="6"/>
  <c r="M30" i="6" s="1"/>
  <c r="W29" i="6"/>
  <c r="H29" i="6"/>
  <c r="M29" i="6" s="1"/>
  <c r="H28" i="6"/>
  <c r="M28" i="6" s="1"/>
  <c r="H27" i="6"/>
  <c r="M27" i="6" s="1"/>
  <c r="H26" i="6"/>
  <c r="M26" i="6" s="1"/>
  <c r="H25" i="6"/>
  <c r="M25" i="6" s="1"/>
  <c r="H24" i="6"/>
  <c r="M24" i="6" s="1"/>
  <c r="H23" i="6"/>
  <c r="M23" i="6" s="1"/>
  <c r="H22" i="6"/>
  <c r="M22" i="6" s="1"/>
  <c r="H21" i="6"/>
  <c r="M21" i="6" s="1"/>
  <c r="H20" i="6"/>
  <c r="M20" i="6" s="1"/>
  <c r="H19" i="6"/>
  <c r="M19" i="6" s="1"/>
  <c r="H18" i="6"/>
  <c r="M18" i="6" s="1"/>
  <c r="H17" i="6"/>
  <c r="M17" i="6" s="1"/>
  <c r="H16" i="6"/>
  <c r="M16" i="6" s="1"/>
  <c r="H15" i="6"/>
  <c r="M15" i="6" s="1"/>
  <c r="H14" i="6"/>
  <c r="M14" i="6" s="1"/>
  <c r="H13" i="6"/>
  <c r="M13" i="6" s="1"/>
  <c r="H12" i="6"/>
  <c r="M12" i="6" s="1"/>
  <c r="H11" i="6"/>
  <c r="M11" i="6" s="1"/>
  <c r="H10" i="6"/>
  <c r="M10" i="6" s="1"/>
  <c r="H9" i="6"/>
  <c r="M9" i="6" s="1"/>
  <c r="H8" i="6"/>
  <c r="M8" i="6" s="1"/>
  <c r="H7" i="6"/>
  <c r="M7" i="6" s="1"/>
  <c r="H6" i="6"/>
  <c r="M6" i="6" s="1"/>
  <c r="H5" i="6"/>
  <c r="M5" i="6" s="1"/>
  <c r="H4" i="6"/>
  <c r="M4" i="6" s="1"/>
  <c r="V69" i="3"/>
  <c r="S69" i="3"/>
  <c r="T69" i="3" s="1"/>
  <c r="R69" i="3"/>
  <c r="Q69" i="3"/>
  <c r="H69" i="3"/>
  <c r="V68" i="3"/>
  <c r="S68" i="3"/>
  <c r="T68" i="3" s="1"/>
  <c r="R68" i="3"/>
  <c r="Q68" i="3"/>
  <c r="H68" i="3"/>
  <c r="V67" i="3"/>
  <c r="S67" i="3"/>
  <c r="T67" i="3" s="1"/>
  <c r="R67" i="3"/>
  <c r="Q67" i="3"/>
  <c r="H67" i="3"/>
  <c r="V66" i="3"/>
  <c r="S66" i="3"/>
  <c r="T66" i="3" s="1"/>
  <c r="R66" i="3"/>
  <c r="Q66" i="3"/>
  <c r="H66" i="3"/>
  <c r="V65" i="3"/>
  <c r="S65" i="3"/>
  <c r="T65" i="3" s="1"/>
  <c r="R65" i="3"/>
  <c r="Q65" i="3"/>
  <c r="H65" i="3"/>
  <c r="V64" i="3"/>
  <c r="S64" i="3"/>
  <c r="T64" i="3" s="1"/>
  <c r="R64" i="3"/>
  <c r="Q64" i="3"/>
  <c r="H64" i="3"/>
  <c r="V63" i="3"/>
  <c r="S63" i="3"/>
  <c r="T63" i="3" s="1"/>
  <c r="R63" i="3"/>
  <c r="Q63" i="3"/>
  <c r="H63" i="3"/>
  <c r="V62" i="3"/>
  <c r="S62" i="3"/>
  <c r="T62" i="3" s="1"/>
  <c r="R62" i="3"/>
  <c r="Q62" i="3"/>
  <c r="H62" i="3"/>
  <c r="V61" i="3"/>
  <c r="S61" i="3"/>
  <c r="T61" i="3" s="1"/>
  <c r="R61" i="3"/>
  <c r="Q61" i="3"/>
  <c r="I61" i="3"/>
  <c r="V60" i="3"/>
  <c r="S60" i="3"/>
  <c r="T60" i="3" s="1"/>
  <c r="R60" i="3"/>
  <c r="Q60" i="3"/>
  <c r="I60" i="3"/>
  <c r="V59" i="3"/>
  <c r="S59" i="3"/>
  <c r="T59" i="3" s="1"/>
  <c r="R59" i="3"/>
  <c r="Q59" i="3"/>
  <c r="H59" i="3"/>
  <c r="V58" i="3"/>
  <c r="S58" i="3"/>
  <c r="T58" i="3" s="1"/>
  <c r="R58" i="3"/>
  <c r="Q58" i="3"/>
  <c r="H58" i="3"/>
  <c r="V57" i="3"/>
  <c r="S57" i="3"/>
  <c r="T57" i="3" s="1"/>
  <c r="R57" i="3"/>
  <c r="Q57" i="3"/>
  <c r="H57" i="3"/>
  <c r="V56" i="3"/>
  <c r="T56" i="3"/>
  <c r="S56" i="3"/>
  <c r="R56" i="3"/>
  <c r="Q56" i="3"/>
  <c r="J56" i="3"/>
  <c r="H56" i="3"/>
  <c r="V55" i="3"/>
  <c r="T55" i="3"/>
  <c r="S55" i="3"/>
  <c r="R55" i="3"/>
  <c r="Q55" i="3"/>
  <c r="J55" i="3"/>
  <c r="H55" i="3"/>
  <c r="V54" i="3"/>
  <c r="T54" i="3"/>
  <c r="S54" i="3"/>
  <c r="R54" i="3"/>
  <c r="Q54" i="3"/>
  <c r="J54" i="3"/>
  <c r="H54" i="3"/>
  <c r="V53" i="3"/>
  <c r="T53" i="3"/>
  <c r="S53" i="3"/>
  <c r="R53" i="3"/>
  <c r="Q53" i="3"/>
  <c r="J53" i="3"/>
  <c r="H53" i="3"/>
  <c r="V52" i="3"/>
  <c r="T52" i="3"/>
  <c r="S52" i="3"/>
  <c r="R52" i="3"/>
  <c r="Q52" i="3"/>
  <c r="J52" i="3"/>
  <c r="H52" i="3"/>
  <c r="V51" i="3"/>
  <c r="R51" i="3"/>
  <c r="S51" i="3" s="1"/>
  <c r="J51" i="3" s="1"/>
  <c r="Q51" i="3"/>
  <c r="P51" i="3"/>
  <c r="H51" i="3"/>
  <c r="V50" i="3"/>
  <c r="T50" i="3"/>
  <c r="S50" i="3"/>
  <c r="R50" i="3"/>
  <c r="Q50" i="3"/>
  <c r="J50" i="3"/>
  <c r="H50" i="3"/>
  <c r="V49" i="3"/>
  <c r="T49" i="3"/>
  <c r="S49" i="3"/>
  <c r="R49" i="3"/>
  <c r="Q49" i="3"/>
  <c r="J49" i="3"/>
  <c r="H49" i="3"/>
  <c r="V48" i="3"/>
  <c r="T48" i="3"/>
  <c r="S48" i="3"/>
  <c r="R48" i="3"/>
  <c r="Q48" i="3"/>
  <c r="J48" i="3"/>
  <c r="H48" i="3"/>
  <c r="V47" i="3"/>
  <c r="T47" i="3"/>
  <c r="S47" i="3"/>
  <c r="R47" i="3"/>
  <c r="Q47" i="3"/>
  <c r="J47" i="3"/>
  <c r="H47" i="3"/>
  <c r="V46" i="3"/>
  <c r="T46" i="3"/>
  <c r="S46" i="3"/>
  <c r="R46" i="3"/>
  <c r="Q46" i="3"/>
  <c r="J46" i="3"/>
  <c r="H46" i="3"/>
  <c r="V45" i="3"/>
  <c r="S45" i="3"/>
  <c r="T45" i="3" s="1"/>
  <c r="R45" i="3"/>
  <c r="Q45" i="3"/>
  <c r="I45" i="3"/>
  <c r="H45" i="3"/>
  <c r="V44" i="3"/>
  <c r="S44" i="3"/>
  <c r="R44" i="3"/>
  <c r="Q44" i="3"/>
  <c r="G44" i="3"/>
  <c r="Z44" i="3" s="1"/>
  <c r="V43" i="3"/>
  <c r="T43" i="3"/>
  <c r="S43" i="3"/>
  <c r="R43" i="3"/>
  <c r="Q43" i="3"/>
  <c r="J43" i="3"/>
  <c r="H43" i="3"/>
  <c r="V42" i="3"/>
  <c r="S42" i="3"/>
  <c r="J42" i="3" s="1"/>
  <c r="R42" i="3"/>
  <c r="Q42" i="3"/>
  <c r="H42" i="3"/>
  <c r="G42" i="3"/>
  <c r="V41" i="3"/>
  <c r="T41" i="3"/>
  <c r="S41" i="3"/>
  <c r="R41" i="3"/>
  <c r="Q41" i="3"/>
  <c r="J41" i="3"/>
  <c r="V40" i="3"/>
  <c r="T40" i="3"/>
  <c r="S40" i="3"/>
  <c r="R40" i="3"/>
  <c r="Q40" i="3"/>
  <c r="J40" i="3"/>
  <c r="V39" i="3"/>
  <c r="T39" i="3"/>
  <c r="S39" i="3"/>
  <c r="R39" i="3"/>
  <c r="Q39" i="3"/>
  <c r="J39" i="3"/>
  <c r="V38" i="3"/>
  <c r="R38" i="3"/>
  <c r="T38" i="3" s="1"/>
  <c r="Q38" i="3"/>
  <c r="H38" i="3"/>
  <c r="V37" i="3"/>
  <c r="R37" i="3"/>
  <c r="T37" i="3" s="1"/>
  <c r="Q37" i="3"/>
  <c r="V36" i="3"/>
  <c r="T36" i="3"/>
  <c r="S36" i="3"/>
  <c r="R36" i="3"/>
  <c r="Q36" i="3"/>
  <c r="J36" i="3"/>
  <c r="V35" i="3"/>
  <c r="T35" i="3"/>
  <c r="S35" i="3"/>
  <c r="R35" i="3"/>
  <c r="Q35" i="3"/>
  <c r="J35" i="3"/>
  <c r="V34" i="3"/>
  <c r="T34" i="3"/>
  <c r="S34" i="3"/>
  <c r="R34" i="3"/>
  <c r="Q34" i="3"/>
  <c r="J34" i="3"/>
  <c r="V33" i="3"/>
  <c r="T33" i="3"/>
  <c r="S33" i="3"/>
  <c r="R33" i="3"/>
  <c r="Q33" i="3"/>
  <c r="J33" i="3"/>
  <c r="V32" i="3"/>
  <c r="R32" i="3"/>
  <c r="S32" i="3" s="1"/>
  <c r="Q32" i="3"/>
  <c r="I32" i="3"/>
  <c r="V31" i="3"/>
  <c r="T31" i="3"/>
  <c r="S31" i="3"/>
  <c r="R31" i="3"/>
  <c r="Q31" i="3"/>
  <c r="J31" i="3"/>
  <c r="V30" i="3"/>
  <c r="R30" i="3"/>
  <c r="T30" i="3" s="1"/>
  <c r="Q30" i="3"/>
  <c r="I30" i="3"/>
  <c r="V29" i="3"/>
  <c r="T29" i="3"/>
  <c r="S29" i="3"/>
  <c r="R29" i="3"/>
  <c r="Q29" i="3"/>
  <c r="J29" i="3"/>
  <c r="V28" i="3"/>
  <c r="T28" i="3"/>
  <c r="S28" i="3"/>
  <c r="R28" i="3"/>
  <c r="Q28" i="3"/>
  <c r="J28" i="3"/>
  <c r="V27" i="3"/>
  <c r="T27" i="3"/>
  <c r="S27" i="3"/>
  <c r="R27" i="3"/>
  <c r="Q27" i="3"/>
  <c r="J27" i="3"/>
  <c r="V26" i="3"/>
  <c r="T26" i="3"/>
  <c r="S26" i="3"/>
  <c r="R26" i="3"/>
  <c r="Q26" i="3"/>
  <c r="J26" i="3"/>
  <c r="V25" i="3"/>
  <c r="R25" i="3"/>
  <c r="T25" i="3" s="1"/>
  <c r="Q25" i="3"/>
  <c r="V24" i="3"/>
  <c r="T24" i="3"/>
  <c r="S24" i="3"/>
  <c r="R24" i="3"/>
  <c r="Q24" i="3"/>
  <c r="J24" i="3"/>
  <c r="V23" i="3"/>
  <c r="R23" i="3"/>
  <c r="S23" i="3" s="1"/>
  <c r="Q23" i="3"/>
  <c r="V22" i="3"/>
  <c r="T22" i="3"/>
  <c r="S22" i="3"/>
  <c r="R22" i="3"/>
  <c r="Q22" i="3"/>
  <c r="J22" i="3"/>
  <c r="V21" i="3"/>
  <c r="T21" i="3"/>
  <c r="S21" i="3"/>
  <c r="R21" i="3"/>
  <c r="Q21" i="3"/>
  <c r="J21" i="3"/>
  <c r="V20" i="3"/>
  <c r="R20" i="3"/>
  <c r="T20" i="3" s="1"/>
  <c r="Q20" i="3"/>
  <c r="H20" i="3"/>
  <c r="V19" i="3"/>
  <c r="T19" i="3"/>
  <c r="S19" i="3"/>
  <c r="R19" i="3"/>
  <c r="Q19" i="3"/>
  <c r="J19" i="3"/>
  <c r="V18" i="3"/>
  <c r="T18" i="3"/>
  <c r="S18" i="3"/>
  <c r="R18" i="3"/>
  <c r="Q18" i="3"/>
  <c r="J18" i="3"/>
  <c r="V17" i="3"/>
  <c r="T17" i="3"/>
  <c r="S17" i="3"/>
  <c r="R17" i="3"/>
  <c r="Q17" i="3"/>
  <c r="J17" i="3"/>
  <c r="H17" i="3"/>
  <c r="V16" i="3"/>
  <c r="R16" i="3"/>
  <c r="S16" i="3" s="1"/>
  <c r="J16" i="3" s="1"/>
  <c r="Q16" i="3"/>
  <c r="H16" i="3"/>
  <c r="V15" i="3"/>
  <c r="T15" i="3"/>
  <c r="S15" i="3"/>
  <c r="R15" i="3"/>
  <c r="Q15" i="3"/>
  <c r="J15" i="3"/>
  <c r="V14" i="3"/>
  <c r="T14" i="3"/>
  <c r="S14" i="3"/>
  <c r="R14" i="3"/>
  <c r="Q14" i="3"/>
  <c r="J14" i="3"/>
  <c r="V13" i="3"/>
  <c r="T13" i="3"/>
  <c r="S13" i="3"/>
  <c r="R13" i="3"/>
  <c r="Q13" i="3"/>
  <c r="J13" i="3"/>
  <c r="V12" i="3"/>
  <c r="T12" i="3"/>
  <c r="S12" i="3"/>
  <c r="R12" i="3"/>
  <c r="Q12" i="3"/>
  <c r="J12" i="3"/>
  <c r="V11" i="3"/>
  <c r="T11" i="3"/>
  <c r="S11" i="3"/>
  <c r="R11" i="3"/>
  <c r="Q11" i="3"/>
  <c r="J11" i="3"/>
  <c r="V10" i="3"/>
  <c r="T10" i="3"/>
  <c r="S10" i="3"/>
  <c r="R10" i="3"/>
  <c r="Q10" i="3"/>
  <c r="J10" i="3"/>
  <c r="V9" i="3"/>
  <c r="T9" i="3"/>
  <c r="S9" i="3"/>
  <c r="R9" i="3"/>
  <c r="Q9" i="3"/>
  <c r="J9" i="3"/>
  <c r="V8" i="3"/>
  <c r="R8" i="3"/>
  <c r="T8" i="3" s="1"/>
  <c r="Q8" i="3"/>
  <c r="V7" i="3"/>
  <c r="T7" i="3"/>
  <c r="S7" i="3"/>
  <c r="R7" i="3"/>
  <c r="Q7" i="3"/>
  <c r="J7" i="3"/>
  <c r="H7" i="3"/>
  <c r="V6" i="3"/>
  <c r="T6" i="3"/>
  <c r="S6" i="3"/>
  <c r="R6" i="3"/>
  <c r="Q6" i="3"/>
  <c r="J6" i="3"/>
  <c r="V5" i="3"/>
  <c r="T5" i="3"/>
  <c r="S5" i="3"/>
  <c r="R5" i="3"/>
  <c r="Q5" i="3"/>
  <c r="J5" i="3"/>
  <c r="X2" i="3"/>
  <c r="W2" i="3"/>
  <c r="V2" i="3"/>
  <c r="U2" i="3"/>
  <c r="T2" i="3"/>
  <c r="S2" i="3"/>
  <c r="R2" i="3"/>
  <c r="Q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O17" i="2" l="1"/>
  <c r="O19" i="2"/>
  <c r="O20" i="2"/>
  <c r="O18" i="2"/>
  <c r="L17" i="2"/>
  <c r="L18" i="2" s="1"/>
  <c r="J23" i="3"/>
  <c r="J32" i="3"/>
  <c r="F6" i="2"/>
  <c r="F8" i="2"/>
  <c r="F22" i="2" s="1"/>
  <c r="J45" i="3"/>
  <c r="J61" i="3"/>
  <c r="J63" i="3"/>
  <c r="J67" i="3"/>
  <c r="T44" i="3"/>
  <c r="H44" i="3"/>
  <c r="T42" i="3"/>
  <c r="J60" i="3"/>
  <c r="J64" i="3"/>
  <c r="J66" i="3"/>
  <c r="J57" i="3"/>
  <c r="J59" i="3"/>
  <c r="J68" i="3"/>
  <c r="S38" i="3"/>
  <c r="J38" i="3" s="1"/>
  <c r="T51" i="3"/>
  <c r="S25" i="3"/>
  <c r="J25" i="3" s="1"/>
  <c r="T16" i="3"/>
  <c r="T32" i="3"/>
  <c r="S37" i="3"/>
  <c r="J37" i="3" s="1"/>
  <c r="T23" i="3"/>
  <c r="S20" i="3"/>
  <c r="J20" i="3" s="1"/>
  <c r="S8" i="3"/>
  <c r="S30" i="3"/>
  <c r="J30" i="3" s="1"/>
  <c r="J44" i="3"/>
  <c r="J58" i="3"/>
  <c r="J62" i="3"/>
  <c r="J65" i="3"/>
  <c r="J69" i="3"/>
  <c r="F9" i="2" l="1"/>
  <c r="F18" i="2"/>
  <c r="F11" i="2"/>
  <c r="F17" i="2"/>
  <c r="G3" i="2"/>
  <c r="J8" i="3"/>
  <c r="F3" i="2"/>
  <c r="C18" i="2" s="1"/>
  <c r="C12" i="1"/>
  <c r="C8" i="1"/>
  <c r="C4" i="1"/>
  <c r="C5" i="1" s="1"/>
  <c r="C10" i="1" s="1"/>
  <c r="G5" i="2" l="1"/>
  <c r="C19" i="2"/>
  <c r="C20" i="2" s="1"/>
  <c r="F7" i="2"/>
  <c r="F5" i="2"/>
  <c r="C3" i="2"/>
  <c r="C13" i="1"/>
  <c r="C18" i="1" s="1"/>
  <c r="F23" i="2" l="1"/>
  <c r="D4" i="2"/>
  <c r="F21" i="2"/>
  <c r="C5" i="2"/>
  <c r="D5" i="2" s="1"/>
  <c r="F12" i="2"/>
  <c r="C15" i="1"/>
  <c r="C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Narcís Magriñá Balcells</author>
  </authors>
  <commentList>
    <comment ref="G42" authorId="0" shapeId="0" xr:uid="{202FE8EA-E199-5E41-BFCD-F90DFAD527D2}">
      <text>
        <r>
          <rPr>
            <b/>
            <sz val="10"/>
            <color rgb="FF000000"/>
            <rFont val="Tahoma"/>
            <family val="2"/>
          </rPr>
          <t>Narcís Magriñá Balcells: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Le quito 3% de gastos
</t>
        </r>
      </text>
    </comment>
    <comment ref="G44" authorId="0" shapeId="0" xr:uid="{A6A52418-905E-A34C-A875-FF71E57B9766}">
      <text>
        <r>
          <rPr>
            <b/>
            <sz val="10"/>
            <color rgb="FF000000"/>
            <rFont val="Tahoma"/>
            <family val="2"/>
          </rPr>
          <t>Narcís Magriñá Balcells: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Resto 3% de gastos</t>
        </r>
      </text>
    </comment>
  </commentList>
</comments>
</file>

<file path=xl/sharedStrings.xml><?xml version="1.0" encoding="utf-8"?>
<sst xmlns="http://schemas.openxmlformats.org/spreadsheetml/2006/main" count="525" uniqueCount="223">
  <si>
    <t>Préstamo</t>
  </si>
  <si>
    <t>Participación</t>
  </si>
  <si>
    <t>Interés ordinario</t>
  </si>
  <si>
    <t>Intereses anuales</t>
  </si>
  <si>
    <t>% gestión</t>
  </si>
  <si>
    <t xml:space="preserve">Gestión </t>
  </si>
  <si>
    <t>Intereses mensuales (habitual)</t>
  </si>
  <si>
    <t>Devengado mensual habitual</t>
  </si>
  <si>
    <t>Bruto</t>
  </si>
  <si>
    <t>% IRPF</t>
  </si>
  <si>
    <t>IRPF</t>
  </si>
  <si>
    <t>Neto</t>
  </si>
  <si>
    <t>% participación</t>
  </si>
  <si>
    <t>Rentabilidad anualizada partícipe</t>
  </si>
  <si>
    <t>Factor de este mes</t>
  </si>
  <si>
    <t>Este factor responde a la cantidad de días que hay que pagar (puede ser distinto de 1 en los 2 primeros pagos)</t>
  </si>
  <si>
    <t>Participado</t>
  </si>
  <si>
    <t>Activo</t>
  </si>
  <si>
    <t>Promocima (Activo)</t>
  </si>
  <si>
    <t>Rentabilidad media</t>
  </si>
  <si>
    <t>Créditos activos</t>
  </si>
  <si>
    <t>Centro coste</t>
  </si>
  <si>
    <t>Nombre</t>
  </si>
  <si>
    <t>firma préstamo</t>
  </si>
  <si>
    <t>Años</t>
  </si>
  <si>
    <t>Importe</t>
  </si>
  <si>
    <t>% interés ordinario</t>
  </si>
  <si>
    <t>% interés demora</t>
  </si>
  <si>
    <t>Garantía</t>
  </si>
  <si>
    <t>LTV vs Pendiente</t>
  </si>
  <si>
    <t>Destinatario</t>
  </si>
  <si>
    <t>Tipo préstamo</t>
  </si>
  <si>
    <t>Intermediario</t>
  </si>
  <si>
    <t>Situación</t>
  </si>
  <si>
    <t>Fecha cancelación</t>
  </si>
  <si>
    <t>Importe retraso</t>
  </si>
  <si>
    <t>Duración</t>
  </si>
  <si>
    <t>Meses</t>
  </si>
  <si>
    <t>Pendiente</t>
  </si>
  <si>
    <t>% apertura</t>
  </si>
  <si>
    <t>Apertura</t>
  </si>
  <si>
    <t>Observaciones</t>
  </si>
  <si>
    <t>Prestatario</t>
  </si>
  <si>
    <t>Préstamo Peinado Vives</t>
  </si>
  <si>
    <t>Física</t>
  </si>
  <si>
    <t>Francés</t>
  </si>
  <si>
    <t>Silex</t>
  </si>
  <si>
    <t>Cancelados</t>
  </si>
  <si>
    <t>Présamo Panadero Hinarejos</t>
  </si>
  <si>
    <t>Préstamo Carlos Santiago Reyes</t>
  </si>
  <si>
    <t>Las Palmas de GC - Persona física</t>
  </si>
  <si>
    <t>Activos</t>
  </si>
  <si>
    <t>Domingo Juan Santana Araya</t>
  </si>
  <si>
    <t>Préstamo Juan Melchor Torrens Pou</t>
  </si>
  <si>
    <t>Préstamo Juliana Joval Esque</t>
  </si>
  <si>
    <t>Préstamo Mª Isabel González Sáres</t>
  </si>
  <si>
    <t>Préstamo Vidal Yagüe - Ibiza</t>
  </si>
  <si>
    <t>Préstamos Jaume Boixadós</t>
  </si>
  <si>
    <t>Americano</t>
  </si>
  <si>
    <t>Préstamo Jaume Solè Bardalet</t>
  </si>
  <si>
    <t>Préstamo Rubén Gil de Blás</t>
  </si>
  <si>
    <t>Noia - Persona física</t>
  </si>
  <si>
    <t>Carencia 12 meses</t>
  </si>
  <si>
    <t>Santiago Figueiras Soñora</t>
  </si>
  <si>
    <t>Préstamo Gestión y Trámites - David Ferrer</t>
  </si>
  <si>
    <t>Préstamo José Dominguez Caballero</t>
  </si>
  <si>
    <t>Préstamo M.Teresa Faure y David Zamora</t>
  </si>
  <si>
    <t>Lorca - Murcia - Persona física</t>
  </si>
  <si>
    <t>José Zamora Molina</t>
  </si>
  <si>
    <t>Préstamo Jose Antonio García Mañanes</t>
  </si>
  <si>
    <t>Préstamo Antonio Torres Marmol</t>
  </si>
  <si>
    <t>Préstamo Jose Antonio López Oñate</t>
  </si>
  <si>
    <t>Judicializados</t>
  </si>
  <si>
    <t>En reclamación judicial</t>
  </si>
  <si>
    <t>Préstamo Ana Isabel Otegui Aramburu</t>
  </si>
  <si>
    <t>Préstamo Florentina González Martos</t>
  </si>
  <si>
    <t>Préstamo Victor Espejo Gines</t>
  </si>
  <si>
    <t>2º Préstamo Juliana Joval Esque</t>
  </si>
  <si>
    <t>Préstamo Gustavo Alberto Fernández de la Puebla</t>
  </si>
  <si>
    <t>Préstamo Concepción Saiz Saiz</t>
  </si>
  <si>
    <t>Boró - Rivas_Vaciamadrid - Persona física</t>
  </si>
  <si>
    <t>Tomasa Palacios Torres</t>
  </si>
  <si>
    <t>Préstamo María del Mar Miguel León</t>
  </si>
  <si>
    <t>Boró - Rivas_Vaciamadrid 2 - Persona física</t>
  </si>
  <si>
    <t>Préstamo Mónica Rodríguez López</t>
  </si>
  <si>
    <t>Préstamo Lourdes Bartolome Martínez</t>
  </si>
  <si>
    <t>Préstamo Juan Jiménez Artacho</t>
  </si>
  <si>
    <t>Péstamo José Eleuterio Navarro Mira</t>
  </si>
  <si>
    <t>Préstamo Adela Rueda García</t>
  </si>
  <si>
    <t>Valencia - Persona física</t>
  </si>
  <si>
    <t>María Carmen Orrico Teruel</t>
  </si>
  <si>
    <t>Préstamo Pablo Pedro Benitez Perez</t>
  </si>
  <si>
    <t>Préstamo Mª Flora Echevarria Sesmilo</t>
  </si>
  <si>
    <t>Préstamo Yolanda de Blas Sánchez</t>
  </si>
  <si>
    <t>Avanza -Puerto Portals- Mallorca</t>
  </si>
  <si>
    <t>Jurídica</t>
  </si>
  <si>
    <t>Avanza</t>
  </si>
  <si>
    <t>Parla 1</t>
  </si>
  <si>
    <t>Kontactalia</t>
  </si>
  <si>
    <t>PROGELAN Y URBITEC</t>
  </si>
  <si>
    <t>Avanza -Torre Azul- Mallorca</t>
  </si>
  <si>
    <t>Parla 2</t>
  </si>
  <si>
    <t>Avanza -Sa Bassa Rotja- Mallorca</t>
  </si>
  <si>
    <t>Castelldefels</t>
  </si>
  <si>
    <t>Avanza - Pino Centinela-Boadilla del Monte</t>
  </si>
  <si>
    <t>Avanza - Santa Ponsa - Mallorca</t>
  </si>
  <si>
    <t xml:space="preserve">Jerez </t>
  </si>
  <si>
    <t>JARALU</t>
  </si>
  <si>
    <t>Sitges</t>
  </si>
  <si>
    <t>MAXTANER</t>
  </si>
  <si>
    <t>Avanza -Santa María - Mallorca</t>
  </si>
  <si>
    <t>Avanza - Calvia - Mallorca</t>
  </si>
  <si>
    <t>Avanza - La Quinta - Marbella</t>
  </si>
  <si>
    <t>Oropesa</t>
  </si>
  <si>
    <t>INVERSIONES ARANDA</t>
  </si>
  <si>
    <t>Sierra Madrid</t>
  </si>
  <si>
    <t>ACTI VIDA</t>
  </si>
  <si>
    <t>Zona Franca</t>
  </si>
  <si>
    <t>Five Rodri</t>
  </si>
  <si>
    <t>FIVE RODRIS</t>
  </si>
  <si>
    <t>Parla 3</t>
  </si>
  <si>
    <t>Blanes</t>
  </si>
  <si>
    <t>QUANTUM ENERGY</t>
  </si>
  <si>
    <t>Avanza - Juan de Austria - Tarifa</t>
  </si>
  <si>
    <t>Avanza - Sant Andreu de Llavaneres - Barcelona</t>
  </si>
  <si>
    <t>Málaga 1</t>
  </si>
  <si>
    <t>LOOKING 4 PERFECTION</t>
  </si>
  <si>
    <t>Carabanchel</t>
  </si>
  <si>
    <t>MAS MADRID</t>
  </si>
  <si>
    <t>Málaga 2</t>
  </si>
  <si>
    <t>Mallorca</t>
  </si>
  <si>
    <t>Fueslo Partners</t>
  </si>
  <si>
    <t>JAIDI INVERSIONES</t>
  </si>
  <si>
    <t>Parla 4</t>
  </si>
  <si>
    <t>Málaga 3</t>
  </si>
  <si>
    <t>Almería</t>
  </si>
  <si>
    <t>Barnacredit</t>
  </si>
  <si>
    <t>INMOBILIARIA BENARES PERTÍN</t>
  </si>
  <si>
    <t>Casares</t>
  </si>
  <si>
    <t>TYR INVESTMENT PARTNER</t>
  </si>
  <si>
    <t>PRESTAPRO CAPITAL, SL</t>
  </si>
  <si>
    <t>Xavier Riart</t>
  </si>
  <si>
    <t>1151 INVERSIONES, SL</t>
  </si>
  <si>
    <t>José Cosculluela</t>
  </si>
  <si>
    <t>Jaume Marcos Domenech</t>
  </si>
  <si>
    <t>EXPORTEN</t>
  </si>
  <si>
    <t>Nombre CCPP</t>
  </si>
  <si>
    <t>CC CCPP</t>
  </si>
  <si>
    <t>Participación por CCPP</t>
  </si>
  <si>
    <t>CC Prestataria</t>
  </si>
  <si>
    <t>Importe préstamo</t>
  </si>
  <si>
    <t>CCPP</t>
  </si>
  <si>
    <t>Fecha firma</t>
  </si>
  <si>
    <t>Activa</t>
  </si>
  <si>
    <t>Cancelada</t>
  </si>
  <si>
    <t>Esta tabla se usa en la confección de presupuestos</t>
  </si>
  <si>
    <t>Importante que se refleje la realidad en cuanto a los préstamos activos, las fechas de caducidad</t>
  </si>
  <si>
    <t>Sólo se importarán los centros con número</t>
  </si>
  <si>
    <t>Int. Anual</t>
  </si>
  <si>
    <t>Primera cuota año</t>
  </si>
  <si>
    <t>Judicializado</t>
  </si>
  <si>
    <t>Gestión</t>
  </si>
  <si>
    <t>% Gestión</t>
  </si>
  <si>
    <t>Ingresos gestión</t>
  </si>
  <si>
    <t>Intereses</t>
  </si>
  <si>
    <t>Intereses partícipes</t>
  </si>
  <si>
    <t xml:space="preserve">Intereses </t>
  </si>
  <si>
    <t>Rent. Partícipes</t>
  </si>
  <si>
    <t>Ingresos Promocima</t>
  </si>
  <si>
    <t>Rent. Promocima</t>
  </si>
  <si>
    <t>KPI 1</t>
  </si>
  <si>
    <t>Participado Activo</t>
  </si>
  <si>
    <t>Participado Judicializado</t>
  </si>
  <si>
    <t>KPI 2</t>
  </si>
  <si>
    <t>Rentabilidad Activas</t>
  </si>
  <si>
    <t>% judicializado</t>
  </si>
  <si>
    <t>% Judic. Partícipes</t>
  </si>
  <si>
    <t>Rentabilidad Total Promocima</t>
  </si>
  <si>
    <t>Aperturas LTM</t>
  </si>
  <si>
    <t>Apertura LTM</t>
  </si>
  <si>
    <t>Papertura LTM Participada</t>
  </si>
  <si>
    <t>KPI 3</t>
  </si>
  <si>
    <t>Rentabilidad Partícipes</t>
  </si>
  <si>
    <t>Operaciones Activas</t>
  </si>
  <si>
    <t>Operaciones Judicializadas</t>
  </si>
  <si>
    <t>Operaciones Al día</t>
  </si>
  <si>
    <t>Operaciones Con retraso</t>
  </si>
  <si>
    <t>KPI 4</t>
  </si>
  <si>
    <t>Operaciones Totales</t>
  </si>
  <si>
    <t>Operaciones Canceladas</t>
  </si>
  <si>
    <t>LTV op vivas</t>
  </si>
  <si>
    <t>Total garantías partícipes</t>
  </si>
  <si>
    <t>LTV op participadas</t>
  </si>
  <si>
    <t>Duración media op canceladas</t>
  </si>
  <si>
    <t>Duración media op activas</t>
  </si>
  <si>
    <t>Duración media op judicializadas</t>
  </si>
  <si>
    <t>Total Garantías op en curso</t>
  </si>
  <si>
    <t>Duración media op en curso</t>
  </si>
  <si>
    <t>Canceladas</t>
  </si>
  <si>
    <t>En Curso</t>
  </si>
  <si>
    <t>Activas</t>
  </si>
  <si>
    <t>Al día</t>
  </si>
  <si>
    <t>Con retraso</t>
  </si>
  <si>
    <t>Judicializadas</t>
  </si>
  <si>
    <t>Desplegadas</t>
  </si>
  <si>
    <t>En cruso</t>
  </si>
  <si>
    <t>En curso</t>
  </si>
  <si>
    <t>Ingresos Anuales op. Activas</t>
  </si>
  <si>
    <t>Ingresos Anuales part. Activas</t>
  </si>
  <si>
    <t>Ingresos Promocima Gestión</t>
  </si>
  <si>
    <t>Ingresos Apert. Promocima (Últimos 12 meses)</t>
  </si>
  <si>
    <t>KPI 5</t>
  </si>
  <si>
    <t>Operaciones En curso</t>
  </si>
  <si>
    <t>Rent op activas</t>
  </si>
  <si>
    <t>OJO, el calcula esto</t>
  </si>
  <si>
    <t>Rentabilidad</t>
  </si>
  <si>
    <t>Participadas</t>
  </si>
  <si>
    <t>Rentabil. Partícipes</t>
  </si>
  <si>
    <t>Rent. Part.</t>
  </si>
  <si>
    <t>Rent tot. Promocima</t>
  </si>
  <si>
    <t>Garantías</t>
  </si>
  <si>
    <t>LTV op.activas</t>
  </si>
  <si>
    <t>Garantías participadas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</si>
</sst>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;\(#,##0\);\-"/>
    <numFmt numFmtId="165" formatCode="0\ &quot;A&quot;"/>
    <numFmt numFmtId="166" formatCode="0\ &quot;E&quot;"/>
    <numFmt numFmtId="167" formatCode="0&quot;x&quot;"/>
    <numFmt numFmtId="168" formatCode="0.0%;\(0.0%\);\-"/>
    <numFmt numFmtId="169" formatCode="_-* #,##0.00\ [$€-C0A]_-;\-* #,##0.00\ [$€-C0A]_-;_-* &quot;-&quot;??\ [$€-C0A]_-;_-@_-"/>
    <numFmt numFmtId="170" formatCode="#,##0.00;\(#,##0.00\);\-"/>
    <numFmt numFmtId="171" formatCode="#,##0.00000;\(#,##0.00000\);\-"/>
    <numFmt numFmtId="172" formatCode="0.00%;\(0.00%\);\-"/>
    <numFmt numFmtId="173" formatCode="0%;\(0%\);\-"/>
  </numFmts>
  <fonts count="2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6"/>
      <name val="Calibri"/>
      <family val="2"/>
      <scheme val="minor"/>
    </font>
    <font>
      <sz val="12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61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4" applyNumberFormat="0" applyAlignment="0" applyProtection="0"/>
    <xf numFmtId="0" fontId="7" fillId="3" borderId="5" applyNumberFormat="0" applyAlignment="0" applyProtection="0"/>
    <xf numFmtId="0" fontId="8" fillId="3" borderId="4" applyNumberFormat="0" applyAlignment="0" applyProtection="0"/>
    <xf numFmtId="0" fontId="9" fillId="0" borderId="6" applyNumberFormat="0" applyFill="0" applyAlignment="0" applyProtection="0"/>
    <xf numFmtId="0" fontId="10" fillId="4" borderId="7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8" applyNumberFormat="0" applyFill="0" applyAlignment="0" applyProtection="0"/>
    <xf numFmtId="0" fontId="14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4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164" fontId="1" fillId="0" borderId="0" applyFont="0" applyFill="0" applyBorder="0" applyAlignment="0" applyProtection="0"/>
    <xf numFmtId="164" fontId="15" fillId="5" borderId="0" applyNumberFormat="0" applyAlignment="0" applyProtection="0"/>
    <xf numFmtId="164" fontId="10" fillId="30" borderId="0" applyNumberFormat="0" applyAlignment="0" applyProtection="0"/>
    <xf numFmtId="0" fontId="1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31" borderId="9" applyNumberFormat="0" applyAlignment="0" applyProtection="0"/>
    <xf numFmtId="0" fontId="10" fillId="32" borderId="0" applyNumberFormat="0" applyAlignment="0" applyProtection="0"/>
    <xf numFmtId="0" fontId="18" fillId="33" borderId="0" applyNumberFormat="0" applyBorder="0" applyProtection="0">
      <alignment horizontal="centerContinuous"/>
    </xf>
    <xf numFmtId="0" fontId="13" fillId="34" borderId="0" applyNumberFormat="0" applyBorder="0" applyAlignment="0" applyProtection="0"/>
    <xf numFmtId="0" fontId="10" fillId="35" borderId="0" applyNumberFormat="0" applyBorder="0" applyAlignment="0" applyProtection="0"/>
    <xf numFmtId="0" fontId="19" fillId="0" borderId="0" applyNumberFormat="0" applyFill="0" applyBorder="0" applyAlignment="0" applyProtection="0"/>
    <xf numFmtId="0" fontId="10" fillId="30" borderId="10" applyNumberFormat="0" applyAlignment="0" applyProtection="0"/>
    <xf numFmtId="164" fontId="1" fillId="0" borderId="0" applyFont="0" applyFill="0" applyBorder="0" applyAlignment="0" applyProtection="0"/>
    <xf numFmtId="0" fontId="1" fillId="5" borderId="11" applyNumberFormat="0" applyBorder="0" applyAlignment="0" applyProtection="0"/>
  </cellStyleXfs>
  <cellXfs count="72">
    <xf numFmtId="0" fontId="0" fillId="0" borderId="0" xfId="0"/>
    <xf numFmtId="0" fontId="0" fillId="36" borderId="0" xfId="0" applyFill="1"/>
    <xf numFmtId="169" fontId="0" fillId="36" borderId="0" xfId="0" applyNumberFormat="1" applyFill="1"/>
    <xf numFmtId="164" fontId="15" fillId="5" borderId="0" xfId="44"/>
    <xf numFmtId="9" fontId="15" fillId="5" borderId="0" xfId="44" applyNumberFormat="1"/>
    <xf numFmtId="0" fontId="10" fillId="30" borderId="0" xfId="45" applyNumberFormat="1"/>
    <xf numFmtId="164" fontId="0" fillId="36" borderId="0" xfId="59" applyFont="1" applyFill="1"/>
    <xf numFmtId="9" fontId="0" fillId="36" borderId="0" xfId="0" applyNumberFormat="1" applyFill="1"/>
    <xf numFmtId="170" fontId="0" fillId="36" borderId="0" xfId="59" applyNumberFormat="1" applyFont="1" applyFill="1"/>
    <xf numFmtId="168" fontId="0" fillId="36" borderId="0" xfId="50" applyFont="1" applyFill="1"/>
    <xf numFmtId="171" fontId="15" fillId="5" borderId="0" xfId="44" applyNumberFormat="1"/>
    <xf numFmtId="164" fontId="0" fillId="0" borderId="0" xfId="59" applyFont="1"/>
    <xf numFmtId="168" fontId="0" fillId="0" borderId="0" xfId="50" applyFont="1"/>
    <xf numFmtId="0" fontId="12" fillId="0" borderId="0" xfId="51"/>
    <xf numFmtId="0" fontId="18" fillId="33" borderId="0" xfId="54">
      <alignment horizontal="centerContinuous"/>
    </xf>
    <xf numFmtId="0" fontId="12" fillId="36" borderId="0" xfId="51" applyFill="1"/>
    <xf numFmtId="0" fontId="10" fillId="30" borderId="12" xfId="58" applyBorder="1" applyAlignment="1">
      <alignment wrapText="1"/>
    </xf>
    <xf numFmtId="0" fontId="12" fillId="36" borderId="0" xfId="51" applyFill="1" applyAlignment="1">
      <alignment wrapText="1"/>
    </xf>
    <xf numFmtId="0" fontId="0" fillId="36" borderId="0" xfId="0" applyFill="1" applyAlignment="1">
      <alignment wrapText="1"/>
    </xf>
    <xf numFmtId="0" fontId="20" fillId="5" borderId="0" xfId="44" applyNumberFormat="1" applyFont="1"/>
    <xf numFmtId="14" fontId="20" fillId="5" borderId="0" xfId="44" applyNumberFormat="1" applyFont="1"/>
    <xf numFmtId="164" fontId="20" fillId="5" borderId="0" xfId="44" applyNumberFormat="1" applyFont="1"/>
    <xf numFmtId="10" fontId="20" fillId="5" borderId="0" xfId="44" applyNumberFormat="1" applyFont="1"/>
    <xf numFmtId="10" fontId="21" fillId="36" borderId="0" xfId="44" applyNumberFormat="1" applyFont="1" applyFill="1"/>
    <xf numFmtId="164" fontId="22" fillId="5" borderId="0" xfId="44" applyNumberFormat="1" applyFont="1"/>
    <xf numFmtId="164" fontId="1" fillId="36" borderId="0" xfId="44" applyNumberFormat="1" applyFont="1" applyFill="1"/>
    <xf numFmtId="172" fontId="22" fillId="5" borderId="0" xfId="50" applyNumberFormat="1" applyFont="1" applyFill="1"/>
    <xf numFmtId="164" fontId="22" fillId="5" borderId="0" xfId="59" applyFont="1" applyFill="1"/>
    <xf numFmtId="0" fontId="15" fillId="5" borderId="0" xfId="44" applyNumberFormat="1"/>
    <xf numFmtId="0" fontId="22" fillId="5" borderId="0" xfId="44" applyNumberFormat="1" applyFont="1"/>
    <xf numFmtId="14" fontId="15" fillId="5" borderId="0" xfId="44" applyNumberFormat="1"/>
    <xf numFmtId="164" fontId="15" fillId="5" borderId="0" xfId="44" applyNumberFormat="1"/>
    <xf numFmtId="10" fontId="15" fillId="5" borderId="0" xfId="44" applyNumberFormat="1"/>
    <xf numFmtId="172" fontId="15" fillId="37" borderId="0" xfId="50" applyNumberFormat="1" applyFont="1" applyFill="1"/>
    <xf numFmtId="173" fontId="15" fillId="37" borderId="0" xfId="50" applyNumberFormat="1" applyFont="1" applyFill="1"/>
    <xf numFmtId="0" fontId="23" fillId="5" borderId="0" xfId="44" applyNumberFormat="1" applyFont="1"/>
    <xf numFmtId="14" fontId="23" fillId="5" borderId="0" xfId="44" applyNumberFormat="1" applyFont="1"/>
    <xf numFmtId="164" fontId="23" fillId="5" borderId="0" xfId="44" applyNumberFormat="1" applyFont="1"/>
    <xf numFmtId="10" fontId="23" fillId="5" borderId="0" xfId="44" applyNumberFormat="1" applyFont="1"/>
    <xf numFmtId="172" fontId="23" fillId="37" borderId="0" xfId="50" applyNumberFormat="1" applyFont="1" applyFill="1"/>
    <xf numFmtId="173" fontId="23" fillId="37" borderId="0" xfId="50" applyNumberFormat="1" applyFont="1" applyFill="1"/>
    <xf numFmtId="164" fontId="15" fillId="5" borderId="0" xfId="59" applyFont="1" applyFill="1"/>
    <xf numFmtId="172" fontId="15" fillId="5" borderId="0" xfId="50" applyNumberFormat="1" applyFont="1" applyFill="1"/>
    <xf numFmtId="10" fontId="20" fillId="36" borderId="0" xfId="44" applyNumberFormat="1" applyFont="1" applyFill="1"/>
    <xf numFmtId="0" fontId="15" fillId="5" borderId="0" xfId="44" applyNumberFormat="1" applyAlignment="1">
      <alignment horizontal="right"/>
    </xf>
    <xf numFmtId="0" fontId="1" fillId="36" borderId="0" xfId="44" applyNumberFormat="1" applyFont="1" applyFill="1"/>
    <xf numFmtId="164" fontId="1" fillId="36" borderId="0" xfId="59" applyFont="1" applyFill="1"/>
    <xf numFmtId="172" fontId="21" fillId="36" borderId="0" xfId="50" applyNumberFormat="1" applyFont="1" applyFill="1"/>
    <xf numFmtId="0" fontId="22" fillId="5" borderId="0" xfId="44" applyNumberFormat="1" applyFont="1" applyAlignment="1">
      <alignment horizontal="right"/>
    </xf>
    <xf numFmtId="0" fontId="22" fillId="36" borderId="0" xfId="44" applyNumberFormat="1" applyFont="1" applyFill="1"/>
    <xf numFmtId="164" fontId="22" fillId="36" borderId="0" xfId="59" applyFont="1" applyFill="1"/>
    <xf numFmtId="14" fontId="22" fillId="5" borderId="0" xfId="44" applyNumberFormat="1" applyFont="1"/>
    <xf numFmtId="0" fontId="20" fillId="5" borderId="0" xfId="44" applyNumberFormat="1" applyFont="1" applyAlignment="1">
      <alignment horizontal="right"/>
    </xf>
    <xf numFmtId="0" fontId="20" fillId="36" borderId="0" xfId="44" applyNumberFormat="1" applyFont="1" applyFill="1"/>
    <xf numFmtId="164" fontId="20" fillId="36" borderId="0" xfId="59" applyFont="1" applyFill="1"/>
    <xf numFmtId="0" fontId="21" fillId="36" borderId="0" xfId="44" applyNumberFormat="1" applyFont="1" applyFill="1"/>
    <xf numFmtId="164" fontId="0" fillId="0" borderId="0" xfId="0" applyNumberFormat="1"/>
    <xf numFmtId="0" fontId="14" fillId="35" borderId="0" xfId="0" applyFont="1" applyFill="1"/>
    <xf numFmtId="170" fontId="15" fillId="5" borderId="0" xfId="59" applyNumberFormat="1" applyFont="1" applyFill="1"/>
    <xf numFmtId="164" fontId="23" fillId="5" borderId="0" xfId="59" applyFont="1" applyFill="1"/>
    <xf numFmtId="9" fontId="22" fillId="5" borderId="0" xfId="44" applyNumberFormat="1" applyFont="1"/>
    <xf numFmtId="164" fontId="19" fillId="0" borderId="0" xfId="59" applyFont="1"/>
    <xf numFmtId="164" fontId="21" fillId="36" borderId="0" xfId="44" applyFont="1" applyFill="1"/>
    <xf numFmtId="164" fontId="18" fillId="33" borderId="0" xfId="54" applyNumberFormat="1">
      <alignment horizontal="centerContinuous"/>
    </xf>
    <xf numFmtId="0" fontId="13" fillId="34" borderId="0" xfId="55"/>
    <xf numFmtId="0" fontId="13" fillId="34" borderId="0" xfId="55" applyAlignment="1">
      <alignment horizontal="left" indent="1"/>
    </xf>
    <xf numFmtId="0" fontId="13" fillId="34" borderId="0" xfId="55" applyAlignment="1">
      <alignment horizontal="left" indent="2"/>
    </xf>
    <xf numFmtId="0" fontId="13" fillId="34" borderId="0" xfId="55" applyAlignment="1">
      <alignment horizontal="left" indent="3"/>
    </xf>
    <xf numFmtId="0" fontId="13" fillId="0" borderId="0" xfId="0" applyFont="1"/>
    <xf numFmtId="164" fontId="13" fillId="0" borderId="0" xfId="59" applyFont="1"/>
    <xf numFmtId="164" fontId="13" fillId="0" borderId="0" xfId="0" applyNumberFormat="1" applyFont="1"/>
    <xf numFmtId="172" fontId="0" fillId="0" borderId="0" xfId="50" applyNumberFormat="1" applyFont="1"/>
  </cellXfs>
  <cellStyles count="61">
    <cellStyle name="(0.000)" xfId="59" xr:uid="{360A8815-3031-C74A-BE38-C64C70964821}"/>
    <cellStyle name="0x" xfId="49" xr:uid="{C4D2F5BE-2797-2241-9F16-3312A6A0E693}"/>
    <cellStyle name="20% - Énfasis1" xfId="20" builtinId="30" hidden="1"/>
    <cellStyle name="20% - Énfasis2" xfId="24" builtinId="34" hidden="1"/>
    <cellStyle name="20% - Énfasis3" xfId="28" builtinId="38" hidden="1"/>
    <cellStyle name="20% - Énfasis4" xfId="32" builtinId="42" hidden="1"/>
    <cellStyle name="20% - Énfasis5" xfId="36" builtinId="46" hidden="1"/>
    <cellStyle name="20% - Énfasis6" xfId="40" builtinId="50" hidden="1"/>
    <cellStyle name="40% - Énfasis1" xfId="21" builtinId="31" hidden="1"/>
    <cellStyle name="40% - Énfasis2" xfId="25" builtinId="35" hidden="1"/>
    <cellStyle name="40% - Énfasis3" xfId="29" builtinId="39" hidden="1"/>
    <cellStyle name="40% - Énfasis4" xfId="33" builtinId="43" hidden="1"/>
    <cellStyle name="40% - Énfasis5" xfId="37" builtinId="47" hidden="1"/>
    <cellStyle name="40% - Énfasis6" xfId="41" builtinId="51" hidden="1"/>
    <cellStyle name="60% - Énfasis1" xfId="22" builtinId="32" hidden="1"/>
    <cellStyle name="60% - Énfasis2" xfId="26" builtinId="36" hidden="1"/>
    <cellStyle name="60% - Énfasis3" xfId="30" builtinId="40" hidden="1"/>
    <cellStyle name="60% - Énfasis4" xfId="34" builtinId="44" hidden="1"/>
    <cellStyle name="60% - Énfasis5" xfId="38" builtinId="48" hidden="1"/>
    <cellStyle name="60% - Énfasis6" xfId="42" builtinId="52" hidden="1"/>
    <cellStyle name="Actual" xfId="47" xr:uid="{1AE5DA5B-8577-1E41-9C25-4BFDC633CDA0}"/>
    <cellStyle name="Cálculo" xfId="13" builtinId="22" hidden="1"/>
    <cellStyle name="Celda de comprobación" xfId="15" builtinId="23" hidden="1"/>
    <cellStyle name="Celda vinculada" xfId="14" builtinId="24" hidden="1"/>
    <cellStyle name="Edición" xfId="44" xr:uid="{C7E9FA89-6C32-4948-AACC-6E719B3BB6DD}"/>
    <cellStyle name="Encabezado 1" xfId="7" builtinId="16" hidden="1"/>
    <cellStyle name="Encabezado 4" xfId="10" builtinId="19" hidden="1"/>
    <cellStyle name="Énfasis1" xfId="19" builtinId="29" hidden="1"/>
    <cellStyle name="Énfasis2" xfId="23" builtinId="33" hidden="1"/>
    <cellStyle name="Énfasis3" xfId="27" builtinId="37" hidden="1"/>
    <cellStyle name="Énfasis4" xfId="31" builtinId="41" hidden="1"/>
    <cellStyle name="Énfasis5" xfId="35" builtinId="45" hidden="1"/>
    <cellStyle name="Énfasis6" xfId="39" builtinId="49" hidden="1"/>
    <cellStyle name="Entrada" xfId="11" builtinId="20" hidden="1"/>
    <cellStyle name="Estimate" xfId="48" xr:uid="{CEA57298-B115-1048-BD3B-BEE65D4FDFAD}"/>
    <cellStyle name="Importado" xfId="46" xr:uid="{81BECCC5-E4E2-DD41-8AA7-98D9064B219C}"/>
    <cellStyle name="Millares" xfId="1" builtinId="3" hidden="1"/>
    <cellStyle name="Millares" xfId="43" xr:uid="{4CB3B6F5-CDEA-5B4A-9725-4544E6C3E959}"/>
    <cellStyle name="Millares [0]" xfId="2" builtinId="6" hidden="1"/>
    <cellStyle name="Moneda" xfId="3" builtinId="4" hidden="1"/>
    <cellStyle name="Moneda [0]" xfId="4" builtinId="7" hidden="1"/>
    <cellStyle name="Normal" xfId="0" builtinId="0"/>
    <cellStyle name="Notas" xfId="60" builtinId="10" customBuiltin="1"/>
    <cellStyle name="Porcentaje" xfId="5" builtinId="5" hidden="1"/>
    <cellStyle name="Porcentaje" xfId="50" xr:uid="{8CFD7DDB-57D2-A747-8106-9DA6F23A44BA}"/>
    <cellStyle name="Ratio" xfId="51" xr:uid="{5F885D09-6C27-D040-AE01-46E7C0994C53}"/>
    <cellStyle name="Referencia" xfId="57" xr:uid="{719B5A24-A0C5-6846-8C01-9C891358188C}"/>
    <cellStyle name="Revisar" xfId="55" xr:uid="{D9057262-D2EE-5142-909B-861008F12610}"/>
    <cellStyle name="Salida" xfId="12" builtinId="21" hidden="1"/>
    <cellStyle name="Seguir aquí" xfId="56" xr:uid="{EDAB289F-CF0A-4947-8E16-927D39093D92}"/>
    <cellStyle name="Subtítulo" xfId="53" xr:uid="{B5245067-A6D1-814A-BB61-87C8937CB0F3}"/>
    <cellStyle name="Subtotal" xfId="52" xr:uid="{B4AC952D-E62E-1448-B86A-A65F58828772}"/>
    <cellStyle name="Super título" xfId="54" xr:uid="{3492EC00-70CB-6343-9106-E67591F5E68A}"/>
    <cellStyle name="Texto de advertencia" xfId="16" builtinId="11" hidden="1"/>
    <cellStyle name="Texto explicativo" xfId="17" builtinId="53" hidden="1"/>
    <cellStyle name="Tit. column." xfId="58" xr:uid="{78E2E715-A7CD-6F4D-B9B4-013548B402F8}"/>
    <cellStyle name="Título" xfId="6" builtinId="15" hidden="1"/>
    <cellStyle name="Título" xfId="45" xr:uid="{EAA398EC-365D-5647-B14F-EC2ADA6B15C4}"/>
    <cellStyle name="Título 2" xfId="8" builtinId="17" hidden="1"/>
    <cellStyle name="Título 3" xfId="9" builtinId="18" hidden="1"/>
    <cellStyle name="Total" xfId="18" builtinId="25" hidden="1"/>
  </cellStyles>
  <dxfs count="56">
    <dxf>
      <numFmt numFmtId="164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Calibri"/>
        <family val="2"/>
        <scheme val="minor"/>
      </font>
      <fill>
        <patternFill patternType="solid">
          <fgColor indexed="64"/>
          <bgColor rgb="FFFFFFCC"/>
        </patternFill>
      </fill>
    </dxf>
    <dxf>
      <numFmt numFmtId="164" formatCode="#,##0;\(#,##0\);\-"/>
    </dxf>
    <dxf>
      <numFmt numFmtId="0" formatCode="General"/>
    </dxf>
    <dxf>
      <numFmt numFmtId="19" formatCode="d/m/yy"/>
    </dxf>
    <dxf>
      <numFmt numFmtId="19" formatCode="d/m/yy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72" formatCode="0.00%;\(0.00%\);\-"/>
      <fill>
        <patternFill patternType="solid">
          <fgColor indexed="64"/>
          <bgColor theme="0"/>
        </patternFill>
      </fill>
    </dxf>
    <dxf>
      <numFmt numFmtId="164" formatCode="#,##0;\(#,##0\);\-"/>
    </dxf>
    <dxf>
      <font>
        <color theme="2" tint="-0.249977111117893"/>
      </font>
      <numFmt numFmtId="0" formatCode="General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249977111117893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249977111117893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164" formatCode="#,##0;\(#,##0\);\-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170" formatCode="#,##0.00;\(#,##0.00\);\-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164" formatCode="#,##0;\(#,##0\);\-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Calibri"/>
        <family val="2"/>
        <scheme val="minor"/>
      </font>
      <numFmt numFmtId="173" formatCode="0%;\(0%\);\-"/>
      <fill>
        <patternFill patternType="solid">
          <fgColor indexed="64"/>
          <bgColor rgb="FFFFFFCC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color theme="4"/>
      </font>
      <numFmt numFmtId="172" formatCode="0.00%;\(0.00%\);\-"/>
      <fill>
        <patternFill patternType="solid">
          <fgColor indexed="64"/>
          <bgColor rgb="FFFFFFCC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color theme="1"/>
      </font>
      <numFmt numFmtId="164" formatCode="#,##0;\(#,##0\);\-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#,##0;\(#,##0\);\-"/>
      <fill>
        <patternFill patternType="solid">
          <fgColor indexed="64"/>
          <bgColor theme="0"/>
        </patternFill>
      </fill>
    </dxf>
    <dxf>
      <numFmt numFmtId="164" formatCode="#,##0;\(#,##0\);\-"/>
    </dxf>
    <dxf>
      <numFmt numFmtId="164" formatCode="#,##0;\(#,##0\);\-"/>
    </dxf>
    <dxf>
      <numFmt numFmtId="19" formatCode="d/m/yy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19" formatCode="d/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4" formatCode="0.00%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4" formatCode="0.00%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#,##0;\(#,##0\);\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6"/>
        <name val="Calibri"/>
        <family val="2"/>
        <scheme val="minor"/>
      </font>
      <numFmt numFmtId="14" formatCode="0.00%"/>
      <fill>
        <patternFill patternType="solid">
          <fgColor indexed="64"/>
          <bgColor theme="0"/>
        </patternFill>
      </fill>
    </dxf>
    <dxf>
      <numFmt numFmtId="14" formatCode="0.00%"/>
    </dxf>
    <dxf>
      <numFmt numFmtId="164" formatCode="#,##0;\(#,##0\);\-"/>
    </dxf>
    <dxf>
      <numFmt numFmtId="164" formatCode="#,##0;\(#,##0\);\-"/>
    </dxf>
    <dxf>
      <numFmt numFmtId="0" formatCode="General"/>
    </dxf>
    <dxf>
      <numFmt numFmtId="19" formatCode="d/m/yy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arcismagrinabalcells/Dropbox/1%20-%20OFICINA/1-PROMOCIMA/02-CAPITAL%20PRIVADO/01%20-%20Operaciones/1%20-%20Operaciones%20de%20Capital%20Privado.xlsx" TargetMode="External"/><Relationship Id="rId1" Type="http://schemas.openxmlformats.org/officeDocument/2006/relationships/externalLinkPath" Target="/Users/narcismagrinabalcells/Dropbox/1%20-%20OFICINA/1-PROMOCIMA/02-CAPITAL%20PRIVADO/01%20-%20Operaciones/1%20-%20Operaciones%20de%20Capital%20Priv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uración"/>
      <sheetName val="Tabla Préstamos"/>
      <sheetName val="Tabla Partícipes"/>
      <sheetName val="Tabla Participación CCPP"/>
      <sheetName val="Participación en Préstamos"/>
      <sheetName val="Resumen participación CCPP"/>
      <sheetName val="Evolución"/>
      <sheetName val="Datos gráficos"/>
      <sheetName val="Particulares"/>
      <sheetName val="Presentación"/>
      <sheetName val="Empresas"/>
      <sheetName val="Total"/>
      <sheetName val="1 - Operaciones de Capital Priv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2347A0-3718-E543-B254-C58300B4DF45}" name="T_Prestamos" displayName="T_Prestamos" ref="B4:AA69" headerRowDxfId="55" totalsRowDxfId="52" headerRowBorderDxfId="54" tableBorderDxfId="53" headerRowCellStyle="Tit. column." dataCellStyle="Edición">
  <autoFilter ref="B4:AA69" xr:uid="{2F063318-58AF-9349-9E1B-C141B74A1BA4}"/>
  <sortState xmlns:xlrd2="http://schemas.microsoft.com/office/spreadsheetml/2017/richdata2" ref="B5:X68">
    <sortCondition ref="B4:B68"/>
  </sortState>
  <tableColumns count="26">
    <tableColumn id="1" xr3:uid="{75046A2F-D85E-9648-B949-A2A4630D792B}" name="Centro coste" totalsRowLabel="Total" dataDxfId="51" dataCellStyle="Edición"/>
    <tableColumn id="2" xr3:uid="{A22A9582-3F78-3444-AACF-4471E1FFDC5C}" name="Nombre" dataDxfId="50" dataCellStyle="Edición"/>
    <tableColumn id="3" xr3:uid="{430690D2-E436-4449-8DBA-2EA7376C4A0E}" name="firma préstamo" dataDxfId="49" dataCellStyle="Edición"/>
    <tableColumn id="4" xr3:uid="{19354164-1119-784C-BFE2-EF1329660502}" name="Años" dataDxfId="48" dataCellStyle="Edición"/>
    <tableColumn id="6" xr3:uid="{0AEA6368-9C54-7C44-9443-451E4CCF609C}" name="Importe" totalsRowFunction="sum" dataDxfId="47" totalsRowDxfId="46" dataCellStyle="Edición"/>
    <tableColumn id="9" xr3:uid="{1C1D1FFD-2175-2A44-950F-9AEFDB228E84}" name="% interés ordinario" dataDxfId="45" dataCellStyle="Edición"/>
    <tableColumn id="8" xr3:uid="{D85EA2BF-985C-6743-8712-E8CD420D8A24}" name="% interés demora" dataDxfId="44" dataCellStyle="Edición">
      <calculatedColumnFormula>T_Prestamos[[#This Row],[% interés ordinario]]+3%</calculatedColumnFormula>
    </tableColumn>
    <tableColumn id="21" xr3:uid="{B2FD734A-1615-7D44-9A0E-BA4CE63E97B7}" name="Garantía" dataDxfId="43" dataCellStyle="Edición"/>
    <tableColumn id="22" xr3:uid="{82E5A40C-977E-4E47-AD3F-158936BCCC82}" name="LTV vs Pendiente" dataDxfId="42" dataCellStyle="Edición">
      <calculatedColumnFormula>IF(T_Prestamos[[#This Row],[Garantía]]="","",T_Prestamos[[#This Row],[Pendiente]]/T_Prestamos[[#This Row],[Garantía]])</calculatedColumnFormula>
    </tableColumn>
    <tableColumn id="19" xr3:uid="{DE707FAB-D8A7-D84F-8914-C91853AD3AF2}" name="Destinatario" dataDxfId="41" dataCellStyle="Edición"/>
    <tableColumn id="7" xr3:uid="{7FA0C8EB-4119-DE4C-A037-C6C197DEF23B}" name="Tipo préstamo" dataDxfId="40" dataCellStyle="Edición"/>
    <tableColumn id="20" xr3:uid="{0D7B3CEA-4EEA-2C40-9F0A-7DE79BD814AA}" name="Intermediario" dataDxfId="39" dataCellStyle="Edición"/>
    <tableColumn id="5" xr3:uid="{179D6707-B68F-2349-9208-DBB351CB6163}" name="Situación" dataDxfId="38" totalsRowDxfId="37" dataCellStyle="Edición"/>
    <tableColumn id="10" xr3:uid="{B8BA322B-B67C-C349-A58E-6B4223742C3F}" name="Fecha cancelación" dataDxfId="36" totalsRowDxfId="35" dataCellStyle="Edición"/>
    <tableColumn id="23" xr3:uid="{C7D61326-25BA-8E43-B283-CD4817088D56}" name="Importe retraso" dataDxfId="34" dataCellStyle="Edición"/>
    <tableColumn id="11" xr3:uid="{446EC477-A97D-B142-81DE-7AD62FD68877}" name="Duración" dataDxfId="33" dataCellStyle="Edición">
      <calculatedColumnFormula>IF(T_Prestamos[[#This Row],[Situación]]="Cancelados",T_Prestamos[[#This Row],[Fecha cancelación]],TODAY())-T_Prestamos[[#This Row],[firma préstamo]]</calculatedColumnFormula>
    </tableColumn>
    <tableColumn id="15" xr3:uid="{E18FDF52-5CCA-A244-8C21-8C51330F49E8}" name="Meses" dataDxfId="32" dataCellStyle="Edición">
      <calculatedColumnFormula>IF(T_Prestamos[[#This Row],[Situación]]="Cancelada","",DATEDIF(T_Prestamos[[#This Row],[firma préstamo]],TODAY(),"m"))</calculatedColumnFormula>
    </tableColumn>
    <tableColumn id="14" xr3:uid="{8C260D29-CFEC-824D-8A2B-9906DA82D88D}" name="Pendiente" dataDxfId="31" totalsRowDxfId="30" dataCellStyle="Edición">
      <calculatedColumnFormula>IF(T_Prestamos[[#This Row],[Situación]]="Cancelados",0,IF(T_Prestamos[[#This Row],[Tipo préstamo]]="Americano",T_Prestamos[[#This Row],[Importe]],T_Prestamos[[#This Row],[Importe]]+CUMPRINC(G5/12,E5*12,F5,1,R5,0)))</calculatedColumnFormula>
    </tableColumn>
    <tableColumn id="16" xr3:uid="{70806D64-3BD3-3D4E-AA1B-A15F999F8E49}" name="Intereses anuales" dataDxfId="29" totalsRowDxfId="28" dataCellStyle="Edición">
      <calculatedColumnFormula>IF(T_Prestamos[[#This Row],[Situación]]="Cancelados",0,IF(T_Prestamos[[#This Row],[Tipo préstamo]]="Americano",T_Prestamos[[#This Row],[Pendiente]]*T_Prestamos[[#This Row],[% interés ordinario]],-CUMIPMT(G5/12,E5*12,F5,R5,R5+11,0)))</calculatedColumnFormula>
    </tableColumn>
    <tableColumn id="17" xr3:uid="{07CDA123-8F83-A047-A4DB-C63F0EA8CE98}" name="% apertura" dataDxfId="27" totalsRowDxfId="26" dataCellStyle="Porcentaje"/>
    <tableColumn id="18" xr3:uid="{B4599963-AA85-C04E-A1EC-3127FACC74D3}" name="Apertura" dataDxfId="25" totalsRowDxfId="24" dataCellStyle="Porcentaje">
      <calculatedColumnFormula>T_Prestamos[[#This Row],[% apertura]]*T_Prestamos[[#This Row],[Importe]]</calculatedColumnFormula>
    </tableColumn>
    <tableColumn id="12" xr3:uid="{B2D93394-5C72-CC47-B0A0-D13F7A65C563}" name="Observaciones" dataDxfId="23" totalsRowDxfId="22" dataCellStyle="Edición"/>
    <tableColumn id="13" xr3:uid="{2AF53BD5-D4D9-0E43-B9F5-732512C399EF}" name="Prestatario" dataDxfId="21" totalsRowDxfId="20" dataCellStyle="Edición"/>
    <tableColumn id="25" xr3:uid="{2764F342-0D51-A243-97BD-2ACC63680DE9}" name="Primera cuota año" dataDxfId="19" totalsRowDxfId="18" dataCellStyle="(0.000)">
      <calculatedColumnFormula>IF(T_Prestamos[[#This Row],[Situación]]="Activos",IF(T_Prestamos[[#This Row],[Tipo préstamo]]="Francés",DATEDIF(T_Prestamos[[#This Row],[firma préstamo]],DATE(YEAR(TODAY()),1,1),"m"),0),0)</calculatedColumnFormula>
    </tableColumn>
    <tableColumn id="24" xr3:uid="{DC225DEE-536B-2046-9763-FCBA7A65CDE1}" name="Int. Anual" dataDxfId="17" totalsRowDxfId="16" dataCellStyle="(0.000)">
      <calculatedColumnFormula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calculatedColumnFormula>
    </tableColumn>
    <tableColumn id="27" xr3:uid="{D5575888-D678-0B49-A433-DEFC31AAB8CC}" name="Aperturas LTM" dataDxfId="15" totalsRowDxfId="14" dataCellStyle="(0.000)">
      <calculatedColumnFormula>IF(T_Prestamos[[#This Row],[firma préstamo]]&gt;DATE(YEAR(TODAY())-1,MONTH(TODAY()),DAY(TODAY())),T_Prestamos[[#This Row],[Importe]]*T_Prestamos[[#This Row],[% apertura]],0)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C46848-3159-B141-B6F4-BFEA937D103F}" name="T_Participes" displayName="T_Participes" ref="B2:C8" totalsRowShown="0" dataCellStyle="Edición">
  <autoFilter ref="B2:C8" xr:uid="{1EB10068-80CC-CF48-A8FB-8F4028407CEC}"/>
  <tableColumns count="2">
    <tableColumn id="1" xr3:uid="{498D24B4-D654-D24A-B5BB-0B8068C4D1D7}" name="CC CCPP" dataCellStyle="Edición"/>
    <tableColumn id="2" xr3:uid="{DCFC792C-2EF1-2845-9FBD-521802DCDD2E}" name="Nombre CCPP" dataCellStyle="Edi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C36D5C-40B6-3343-86C4-7D4D8310643A}" name="T_Participaciones" displayName="T_Participaciones" ref="B3:P35" totalsRowShown="0" headerRowDxfId="13" headerRowCellStyle="Título" dataCellStyle="Edición">
  <autoFilter ref="B3:P35" xr:uid="{DECA43A9-5434-2B4E-B882-FAD35E3A0482}"/>
  <tableColumns count="15">
    <tableColumn id="1" xr3:uid="{E8FAB490-82E4-C348-8B00-ACB6468591F5}" name="CC Prestataria" dataDxfId="12" dataCellStyle="Edición"/>
    <tableColumn id="6" xr3:uid="{4F68BE3E-1CDD-364A-BA37-6DFAA752660C}" name="Prestatario" dataDxfId="11" dataCellStyle="Edición">
      <calculatedColumnFormula>VLOOKUP(T_Participaciones[[#This Row],[CC Prestataria]],T_Prestamos[#Data],2)</calculatedColumnFormula>
    </tableColumn>
    <tableColumn id="9" xr3:uid="{288E584D-F35F-6748-9E62-1902B9D707B8}" name="Importe préstamo" dataDxfId="10" dataCellStyle="(0.000)">
      <calculatedColumnFormula>SUMIFS([1]!T_Prestamos[Importe],[1]!T_Prestamos[Centro coste],T_Participaciones[[#This Row],[CC Prestataria]])</calculatedColumnFormula>
    </tableColumn>
    <tableColumn id="8" xr3:uid="{29E4AA34-7381-D54C-9A0D-8FAC4F28A051}" name="CC CCPP" dataDxfId="9" dataCellStyle="Edición"/>
    <tableColumn id="2" xr3:uid="{20824E84-3446-6344-92A9-6AC6149367E0}" name="CCPP" dataDxfId="8" dataCellStyle="Edición">
      <calculatedColumnFormula>VLOOKUP(T_Participaciones[[#This Row],[CC CCPP]],[1]!T_Participes[#Data],2)</calculatedColumnFormula>
    </tableColumn>
    <tableColumn id="3" xr3:uid="{6F7D5CC9-0B3A-C747-A933-D8ADD0638ADD}" name="Importe" dataDxfId="7" dataCellStyle="Edición"/>
    <tableColumn id="7" xr3:uid="{5E2157C4-CADA-8446-B857-C97148260C86}" name="Participación" dataDxfId="6" dataCellStyle="Porcentaje">
      <calculatedColumnFormula>T_Participaciones[[#This Row],[Importe]]/T_Participaciones[[#This Row],[Importe préstamo]]</calculatedColumnFormula>
    </tableColumn>
    <tableColumn id="4" xr3:uid="{795919F7-FAEF-F54E-ABEE-9B587E71B471}" name="Fecha firma" dataDxfId="5" dataCellStyle="Edición"/>
    <tableColumn id="5" xr3:uid="{B49B5FD7-0F0E-8D4B-B212-D7B831E90962}" name="Situación" dataDxfId="4" dataCellStyle="Edición"/>
    <tableColumn id="10" xr3:uid="{E00EE774-87FB-2F44-BC7B-5FEF2564B75C}" name="% Gestión" dataCellStyle="Edición"/>
    <tableColumn id="11" xr3:uid="{11E1E265-333B-0E43-8A29-97F3B0A5FB64}" name="Gestión" dataDxfId="3" dataCellStyle="Edición">
      <calculatedColumnFormula>T_Participaciones[[#This Row],[% Gestión]]*T_Participaciones[[#This Row],[Importe]]</calculatedColumnFormula>
    </tableColumn>
    <tableColumn id="12" xr3:uid="{07CCA5B9-C529-7D48-BE58-7C63D99EAC31}" name="Intereses" dataDxfId="2" dataCellStyle="(0.000)">
      <calculatedColumnFormula>SUMIFS(T_Prestamos[Int. Anual],T_Prestamos[Centro coste],T_Participaciones[[#This Row],[CC Prestataria]])*T_Participaciones[[#This Row],[Participación]]</calculatedColumnFormula>
    </tableColumn>
    <tableColumn id="14" xr3:uid="{8932CFAB-1DD6-0A44-A0EA-571E860F5FFF}" name="Apertura" dataDxfId="1" dataCellStyle="(0.000)"/>
    <tableColumn id="13" xr3:uid="{6BE9CD6B-96F1-A348-BD2C-3B6163DCFBA0}" name="Apertura LTM" dataCellStyle="(0.000)">
      <calculatedColumnFormula>IF(T_Participaciones[[#This Row],[Fecha firma]]&gt;DATE(YEAR(TODAY())-1,MONTH(TODAY()),DAY(TODAY())),T_Participaciones[[#This Row],[Importe]]*T_Participaciones[[#This Row],[Apertura]],0)</calculatedColumnFormula>
    </tableColumn>
    <tableColumn id="15" xr3:uid="{18B0A49C-37B9-9049-992B-7088FF201A2D}" name="Garantía" dataDxfId="0" dataCellStyle="(0.000)">
      <calculatedColumnFormula>VLOOKUP(T_Participaciones[[#This Row],[CC Prestataria]],T_Prestamos[],'Tabla Préstamos'!$I$2,FALSE)*T_Participaciones[[#This Row],[Participación]]*IF(T_Participaciones[[#This Row],[Situación]]="Cancelada",0,1)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57CB-41D9-0649-B313-73BD565DE982}">
  <dimension ref="B2:K18"/>
  <sheetViews>
    <sheetView showGridLines="0" workbookViewId="0">
      <selection activeCell="M21" sqref="M21"/>
    </sheetView>
  </sheetViews>
  <sheetFormatPr baseColWidth="10" defaultRowHeight="16" x14ac:dyDescent="0.2"/>
  <cols>
    <col min="1" max="1" width="3.33203125" style="1" customWidth="1"/>
    <col min="2" max="2" width="29.5" style="1" bestFit="1" customWidth="1"/>
    <col min="3" max="16384" width="10.83203125" style="1"/>
  </cols>
  <sheetData>
    <row r="2" spans="2:11" x14ac:dyDescent="0.2">
      <c r="B2" s="5" t="s">
        <v>0</v>
      </c>
      <c r="C2" s="3">
        <v>100000</v>
      </c>
    </row>
    <row r="3" spans="2:11" x14ac:dyDescent="0.2">
      <c r="B3" s="5" t="s">
        <v>2</v>
      </c>
      <c r="C3" s="4">
        <v>0.12</v>
      </c>
    </row>
    <row r="4" spans="2:11" x14ac:dyDescent="0.2">
      <c r="B4" s="5" t="s">
        <v>3</v>
      </c>
      <c r="C4" s="6">
        <f>C2*C3</f>
        <v>12000</v>
      </c>
    </row>
    <row r="5" spans="2:11" x14ac:dyDescent="0.2">
      <c r="B5" s="5" t="s">
        <v>6</v>
      </c>
      <c r="C5" s="6">
        <f>C4/12</f>
        <v>1000</v>
      </c>
    </row>
    <row r="7" spans="2:11" x14ac:dyDescent="0.2">
      <c r="B7" s="5" t="s">
        <v>1</v>
      </c>
      <c r="C7" s="3">
        <v>20000</v>
      </c>
    </row>
    <row r="8" spans="2:11" x14ac:dyDescent="0.2">
      <c r="B8" s="5" t="s">
        <v>12</v>
      </c>
      <c r="C8" s="7">
        <f>C7/C2</f>
        <v>0.2</v>
      </c>
      <c r="K8" s="2"/>
    </row>
    <row r="9" spans="2:11" x14ac:dyDescent="0.2">
      <c r="B9" s="5" t="s">
        <v>14</v>
      </c>
      <c r="C9" s="10">
        <v>1</v>
      </c>
      <c r="D9" s="1" t="s">
        <v>15</v>
      </c>
    </row>
    <row r="10" spans="2:11" x14ac:dyDescent="0.2">
      <c r="B10" s="5" t="s">
        <v>7</v>
      </c>
      <c r="C10" s="8">
        <f>C5*C8*C9</f>
        <v>200</v>
      </c>
    </row>
    <row r="11" spans="2:11" x14ac:dyDescent="0.2">
      <c r="B11" s="5" t="s">
        <v>4</v>
      </c>
      <c r="C11" s="4">
        <v>0.02</v>
      </c>
    </row>
    <row r="12" spans="2:11" x14ac:dyDescent="0.2">
      <c r="B12" s="5" t="s">
        <v>5</v>
      </c>
      <c r="C12" s="8">
        <f>C7*C11/12*C9</f>
        <v>33.333333333333336</v>
      </c>
    </row>
    <row r="13" spans="2:11" x14ac:dyDescent="0.2">
      <c r="B13" s="5" t="s">
        <v>8</v>
      </c>
      <c r="C13" s="8">
        <f>C10-C12</f>
        <v>166.66666666666666</v>
      </c>
    </row>
    <row r="14" spans="2:11" x14ac:dyDescent="0.2">
      <c r="B14" s="5" t="s">
        <v>9</v>
      </c>
      <c r="C14" s="4">
        <v>0.19</v>
      </c>
      <c r="D14"/>
      <c r="E14"/>
      <c r="F14"/>
      <c r="G14"/>
      <c r="H14"/>
    </row>
    <row r="15" spans="2:11" x14ac:dyDescent="0.2">
      <c r="B15" s="5" t="s">
        <v>10</v>
      </c>
      <c r="C15" s="8">
        <f>C13*19%</f>
        <v>31.666666666666664</v>
      </c>
      <c r="H15"/>
    </row>
    <row r="16" spans="2:11" x14ac:dyDescent="0.2">
      <c r="B16" s="5" t="s">
        <v>11</v>
      </c>
      <c r="C16" s="8">
        <f>C13-C15</f>
        <v>135</v>
      </c>
      <c r="E16"/>
    </row>
    <row r="18" spans="2:3" x14ac:dyDescent="0.2">
      <c r="B18" s="5" t="s">
        <v>13</v>
      </c>
      <c r="C18" s="9">
        <f>C13*12/C7</f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ACCD2-8E74-5A4A-A3BE-8E1E8DEA11AA}">
  <dimension ref="A1:O42"/>
  <sheetViews>
    <sheetView showGridLines="0" tabSelected="1" topLeftCell="D7" workbookViewId="0">
      <selection activeCell="J40" sqref="J40"/>
    </sheetView>
  </sheetViews>
  <sheetFormatPr baseColWidth="10" defaultRowHeight="16" x14ac:dyDescent="0.2"/>
  <cols>
    <col min="2" max="2" width="19.33203125" customWidth="1"/>
    <col min="3" max="3" width="10.83203125" style="11"/>
    <col min="5" max="5" width="41" customWidth="1"/>
    <col min="6" max="6" width="11.6640625" bestFit="1" customWidth="1"/>
    <col min="8" max="8" width="23" customWidth="1"/>
    <col min="11" max="11" width="25.5" customWidth="1"/>
    <col min="12" max="12" width="11.5" bestFit="1" customWidth="1"/>
    <col min="14" max="14" width="28.33203125" customWidth="1"/>
  </cols>
  <sheetData>
    <row r="1" spans="1:15" x14ac:dyDescent="0.2">
      <c r="F1" t="s">
        <v>17</v>
      </c>
      <c r="G1" t="s">
        <v>160</v>
      </c>
    </row>
    <row r="2" spans="1:15" x14ac:dyDescent="0.2">
      <c r="B2" t="s">
        <v>206</v>
      </c>
      <c r="C2" s="62">
        <f>F2+G2</f>
        <v>2781010</v>
      </c>
      <c r="F2" s="61">
        <f>SUMIFS(T_Prestamos[Importe],T_Prestamos[Situación],"Activos")</f>
        <v>2690710</v>
      </c>
      <c r="G2" s="61">
        <f>SUMIFS(T_Prestamos[Importe],T_Prestamos[Situación],"Judicializados")</f>
        <v>90300</v>
      </c>
    </row>
    <row r="3" spans="1:15" x14ac:dyDescent="0.2">
      <c r="B3" t="s">
        <v>17</v>
      </c>
      <c r="C3" s="62">
        <f ca="1">F3+G3</f>
        <v>2656056.2686826424</v>
      </c>
      <c r="F3" s="61">
        <f ca="1">SUMIFS(T_Prestamos[Pendiente],T_Prestamos[Situación],"Activos")</f>
        <v>2597747.208086757</v>
      </c>
      <c r="G3" s="61">
        <f ca="1">SUMIFS(T_Prestamos[Pendiente],T_Prestamos[Situación],"Judicializados")</f>
        <v>58309.060595885305</v>
      </c>
      <c r="K3" s="64" t="s">
        <v>204</v>
      </c>
    </row>
    <row r="4" spans="1:15" x14ac:dyDescent="0.2">
      <c r="B4" t="s">
        <v>16</v>
      </c>
      <c r="C4" s="62">
        <f>F4+G4</f>
        <v>1475000</v>
      </c>
      <c r="D4" s="12">
        <f ca="1">F4/C3</f>
        <v>0.55533462050168625</v>
      </c>
      <c r="F4" s="3">
        <v>1475000</v>
      </c>
      <c r="K4" s="65" t="s">
        <v>199</v>
      </c>
    </row>
    <row r="5" spans="1:15" x14ac:dyDescent="0.2">
      <c r="B5" t="s">
        <v>18</v>
      </c>
      <c r="C5" s="62">
        <f ca="1">F5+G5</f>
        <v>1181056.2686826424</v>
      </c>
      <c r="D5" s="12">
        <f ca="1">C5/C3</f>
        <v>0.44466537949831375</v>
      </c>
      <c r="F5" s="56">
        <f ca="1">F3-F4</f>
        <v>1122747.208086757</v>
      </c>
      <c r="G5" s="56">
        <f ca="1">G3-G4</f>
        <v>58309.060595885305</v>
      </c>
      <c r="K5" s="66" t="s">
        <v>200</v>
      </c>
    </row>
    <row r="6" spans="1:15" x14ac:dyDescent="0.2">
      <c r="A6">
        <v>2026</v>
      </c>
      <c r="B6" t="s">
        <v>166</v>
      </c>
      <c r="F6" s="11">
        <f ca="1">SUMIFS(T_Prestamos[Int. Anual],T_Prestamos[Situación],"Activos")</f>
        <v>289988.82659054629</v>
      </c>
      <c r="K6" s="67" t="s">
        <v>201</v>
      </c>
    </row>
    <row r="7" spans="1:15" x14ac:dyDescent="0.2">
      <c r="B7" t="s">
        <v>19</v>
      </c>
      <c r="F7" s="12">
        <f ca="1">F6/F3</f>
        <v>0.11163088759668932</v>
      </c>
      <c r="K7" s="67" t="s">
        <v>202</v>
      </c>
    </row>
    <row r="8" spans="1:15" x14ac:dyDescent="0.2">
      <c r="B8" t="s">
        <v>165</v>
      </c>
      <c r="F8" s="11">
        <f>SUM(T_Participaciones[Intereses])</f>
        <v>165758.75</v>
      </c>
      <c r="K8" s="66" t="s">
        <v>203</v>
      </c>
    </row>
    <row r="9" spans="1:15" x14ac:dyDescent="0.2">
      <c r="B9" t="s">
        <v>167</v>
      </c>
      <c r="F9" s="12">
        <f>F8/F4</f>
        <v>0.11237881355932203</v>
      </c>
      <c r="K9" s="65" t="s">
        <v>198</v>
      </c>
    </row>
    <row r="10" spans="1:15" x14ac:dyDescent="0.2">
      <c r="B10" t="s">
        <v>163</v>
      </c>
      <c r="F10" s="11">
        <f>SUMIFS(T_Participaciones[Gestión],T_Participaciones[Situación],"Activa")</f>
        <v>28500</v>
      </c>
    </row>
    <row r="11" spans="1:15" x14ac:dyDescent="0.2">
      <c r="B11" t="s">
        <v>168</v>
      </c>
      <c r="F11" s="56">
        <f ca="1">F6-F8+F10</f>
        <v>152730.07659054629</v>
      </c>
    </row>
    <row r="12" spans="1:15" x14ac:dyDescent="0.2">
      <c r="B12" t="s">
        <v>169</v>
      </c>
      <c r="F12" s="12">
        <f ca="1">F11/F5</f>
        <v>0.13603247061358492</v>
      </c>
    </row>
    <row r="13" spans="1:15" x14ac:dyDescent="0.2">
      <c r="B13" t="s">
        <v>179</v>
      </c>
      <c r="F13" s="56">
        <f ca="1">SUM(T_Prestamos[Aperturas LTM])</f>
        <v>25612.225000000002</v>
      </c>
    </row>
    <row r="14" spans="1:15" x14ac:dyDescent="0.2">
      <c r="B14" t="s">
        <v>180</v>
      </c>
      <c r="F14" s="56">
        <f ca="1">SUM(T_Participaciones[Apertura LTM])</f>
        <v>1000</v>
      </c>
    </row>
    <row r="16" spans="1:15" ht="19" x14ac:dyDescent="0.25">
      <c r="B16" s="14" t="s">
        <v>170</v>
      </c>
      <c r="C16" s="63"/>
      <c r="E16" s="14" t="s">
        <v>173</v>
      </c>
      <c r="F16" s="14"/>
      <c r="H16" s="14" t="s">
        <v>181</v>
      </c>
      <c r="I16" s="14"/>
      <c r="K16" s="14" t="s">
        <v>187</v>
      </c>
      <c r="L16" s="14"/>
      <c r="N16" s="14" t="s">
        <v>211</v>
      </c>
      <c r="O16" s="14"/>
    </row>
    <row r="17" spans="2:15" x14ac:dyDescent="0.2">
      <c r="B17" s="68" t="s">
        <v>205</v>
      </c>
      <c r="C17" s="69">
        <f>C2</f>
        <v>2781010</v>
      </c>
      <c r="E17" s="68" t="s">
        <v>207</v>
      </c>
      <c r="F17" s="70">
        <f ca="1">F6</f>
        <v>289988.82659054629</v>
      </c>
      <c r="H17" s="68" t="s">
        <v>188</v>
      </c>
      <c r="I17" s="68">
        <f>COUNT(T_Prestamos[Centro coste])</f>
        <v>65</v>
      </c>
      <c r="K17" s="68" t="s">
        <v>196</v>
      </c>
      <c r="L17" s="70">
        <f>SUMIFS(T_Prestamos[Garantía],T_Prestamos[Situación],"Activos")+SUMIFS(T_Prestamos[Garantía],T_Prestamos[Situación],"Judicializados")</f>
        <v>10924829.727304058</v>
      </c>
      <c r="N17" t="s">
        <v>197</v>
      </c>
      <c r="O17" s="56">
        <f ca="1">(SUMIFS(T_Prestamos[Duración],T_Prestamos[Situación],"Activos")+SUMIFS(T_Prestamos[Duración],T_Prestamos[Situación],"Judicializados"))/(COUNTIFS(T_Prestamos[Situación],"Activos")+COUNTIFS(T_Prestamos[Situación],"Judicializados"))</f>
        <v>1342.7692307692307</v>
      </c>
    </row>
    <row r="18" spans="2:15" x14ac:dyDescent="0.2">
      <c r="B18" t="s">
        <v>17</v>
      </c>
      <c r="C18" s="11">
        <f ca="1">F3</f>
        <v>2597747.208086757</v>
      </c>
      <c r="E18" t="s">
        <v>208</v>
      </c>
      <c r="F18" s="56">
        <f>F8</f>
        <v>165758.75</v>
      </c>
      <c r="H18" t="s">
        <v>189</v>
      </c>
      <c r="I18">
        <f>COUNTIFS(T_Prestamos[Situación],"Cancelados")</f>
        <v>39</v>
      </c>
      <c r="K18" t="s">
        <v>190</v>
      </c>
      <c r="L18" s="12">
        <f>C2/L17</f>
        <v>0.25455865852531462</v>
      </c>
      <c r="N18" t="s">
        <v>193</v>
      </c>
      <c r="O18" s="11">
        <f ca="1">SUMIFS(T_Prestamos[Duración],T_Prestamos[Situación],"Cancelados")/COUNTIFS(T_Prestamos[Situación],"Cancelados")</f>
        <v>721.25641025641028</v>
      </c>
    </row>
    <row r="19" spans="2:15" x14ac:dyDescent="0.2">
      <c r="B19" t="s">
        <v>160</v>
      </c>
      <c r="C19" s="11">
        <f ca="1">G3</f>
        <v>58309.060595885305</v>
      </c>
      <c r="E19" t="s">
        <v>209</v>
      </c>
      <c r="F19" s="56">
        <f>F10</f>
        <v>28500</v>
      </c>
      <c r="H19" t="s">
        <v>212</v>
      </c>
      <c r="I19">
        <f>I17-I18</f>
        <v>26</v>
      </c>
      <c r="K19" t="s">
        <v>191</v>
      </c>
      <c r="L19" s="56">
        <f>SUM(T_Participaciones[Garantía])</f>
        <v>6091055.8913987586</v>
      </c>
      <c r="N19" t="s">
        <v>194</v>
      </c>
      <c r="O19" s="11">
        <f ca="1">SUMIFS(T_Prestamos[Duración],T_Prestamos[Situación],"Activos")/COUNTIFS(T_Prestamos[Situación],"Activos")</f>
        <v>1120.0454545454545</v>
      </c>
    </row>
    <row r="20" spans="2:15" x14ac:dyDescent="0.2">
      <c r="B20" t="s">
        <v>175</v>
      </c>
      <c r="C20" s="12">
        <f ca="1">C19/C17</f>
        <v>2.0966864770671556E-2</v>
      </c>
      <c r="E20" t="s">
        <v>210</v>
      </c>
      <c r="F20" s="56">
        <f ca="1">F13-F14</f>
        <v>24612.225000000002</v>
      </c>
      <c r="H20" t="s">
        <v>184</v>
      </c>
      <c r="I20">
        <f>COUNTIFS(T_Prestamos[Situación],"Judicializados")</f>
        <v>4</v>
      </c>
      <c r="K20" t="s">
        <v>192</v>
      </c>
      <c r="L20" s="12">
        <f>F4/L19</f>
        <v>0.24215834270752012</v>
      </c>
      <c r="N20" t="s">
        <v>195</v>
      </c>
      <c r="O20" s="11">
        <f ca="1">SUMIFS(T_Prestamos[Duración],T_Prestamos[Situación],"Judicializados")/COUNTIFS(T_Prestamos[Situación],"Judicializados")</f>
        <v>2567.75</v>
      </c>
    </row>
    <row r="21" spans="2:15" x14ac:dyDescent="0.2">
      <c r="B21" t="s">
        <v>171</v>
      </c>
      <c r="C21" s="11">
        <f>F4</f>
        <v>1475000</v>
      </c>
      <c r="E21" t="s">
        <v>174</v>
      </c>
      <c r="F21" s="12">
        <f ca="1">F17/C18</f>
        <v>0.11163088759668932</v>
      </c>
      <c r="H21" t="s">
        <v>183</v>
      </c>
      <c r="I21">
        <f>COUNTIFS(T_Prestamos[Situación],"Activos")</f>
        <v>22</v>
      </c>
    </row>
    <row r="22" spans="2:15" x14ac:dyDescent="0.2">
      <c r="B22" t="s">
        <v>172</v>
      </c>
      <c r="C22" s="11">
        <f>G4</f>
        <v>0</v>
      </c>
      <c r="E22" t="s">
        <v>182</v>
      </c>
      <c r="F22" s="12">
        <f>F8/F4</f>
        <v>0.11237881355932203</v>
      </c>
      <c r="H22" t="s">
        <v>185</v>
      </c>
    </row>
    <row r="23" spans="2:15" x14ac:dyDescent="0.2">
      <c r="B23" t="s">
        <v>176</v>
      </c>
      <c r="C23" s="11">
        <f>C22/C21</f>
        <v>0</v>
      </c>
      <c r="E23" t="s">
        <v>177</v>
      </c>
      <c r="F23" s="12">
        <f ca="1">(F17-F18+F19+F20)/F5</f>
        <v>0.15795390121054098</v>
      </c>
      <c r="H23" t="s">
        <v>186</v>
      </c>
    </row>
    <row r="26" spans="2:15" x14ac:dyDescent="0.2">
      <c r="E26" t="s">
        <v>206</v>
      </c>
      <c r="F26">
        <v>2672058</v>
      </c>
    </row>
    <row r="27" spans="2:15" x14ac:dyDescent="0.2">
      <c r="E27" t="s">
        <v>200</v>
      </c>
      <c r="F27">
        <v>2598162</v>
      </c>
    </row>
    <row r="28" spans="2:15" x14ac:dyDescent="0.2">
      <c r="E28" t="s">
        <v>215</v>
      </c>
      <c r="F28">
        <v>289444</v>
      </c>
    </row>
    <row r="29" spans="2:15" x14ac:dyDescent="0.2">
      <c r="E29" t="s">
        <v>161</v>
      </c>
      <c r="F29">
        <v>28500</v>
      </c>
    </row>
    <row r="30" spans="2:15" x14ac:dyDescent="0.2">
      <c r="E30" t="s">
        <v>40</v>
      </c>
      <c r="F30">
        <v>25612</v>
      </c>
    </row>
    <row r="31" spans="2:15" x14ac:dyDescent="0.2">
      <c r="E31" t="s">
        <v>213</v>
      </c>
      <c r="F31" s="71">
        <f>F28/F27</f>
        <v>0.11140336899700634</v>
      </c>
    </row>
    <row r="32" spans="2:15" x14ac:dyDescent="0.2">
      <c r="E32" t="s">
        <v>214</v>
      </c>
      <c r="F32" s="71">
        <f>F28/F26</f>
        <v>0.10832249898767167</v>
      </c>
    </row>
    <row r="34" spans="5:6" x14ac:dyDescent="0.2">
      <c r="E34" t="s">
        <v>216</v>
      </c>
      <c r="F34">
        <v>1475000</v>
      </c>
    </row>
    <row r="35" spans="5:6" x14ac:dyDescent="0.2">
      <c r="E35" t="s">
        <v>217</v>
      </c>
      <c r="F35">
        <v>165759</v>
      </c>
    </row>
    <row r="36" spans="5:6" x14ac:dyDescent="0.2">
      <c r="E36" t="s">
        <v>218</v>
      </c>
      <c r="F36" s="71">
        <f>F35/F34</f>
        <v>0.11237898305084745</v>
      </c>
    </row>
    <row r="37" spans="5:6" x14ac:dyDescent="0.2">
      <c r="E37" t="s">
        <v>219</v>
      </c>
      <c r="F37" s="71">
        <f>(F28-F35+F29+F30)/(F27-F34)</f>
        <v>0.15830040546243551</v>
      </c>
    </row>
    <row r="39" spans="5:6" x14ac:dyDescent="0.2">
      <c r="E39" t="s">
        <v>220</v>
      </c>
      <c r="F39">
        <v>10003131</v>
      </c>
    </row>
    <row r="40" spans="5:6" x14ac:dyDescent="0.2">
      <c r="E40" t="s">
        <v>221</v>
      </c>
      <c r="F40" s="12">
        <f>F26/F39</f>
        <v>0.26712216405043582</v>
      </c>
    </row>
    <row r="41" spans="5:6" x14ac:dyDescent="0.2">
      <c r="E41" t="s">
        <v>222</v>
      </c>
      <c r="F41">
        <v>5371230</v>
      </c>
    </row>
    <row r="42" spans="5:6" x14ac:dyDescent="0.2">
      <c r="E42" t="s">
        <v>221</v>
      </c>
      <c r="F42" s="12">
        <f>F34/F41</f>
        <v>0.27461121568057967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C240-8260-A143-B7D1-891DE40213AE}">
  <sheetPr>
    <tabColor theme="8" tint="0.79998168889431442"/>
  </sheetPr>
  <dimension ref="B2:AD69"/>
  <sheetViews>
    <sheetView showGridLines="0" topLeftCell="C27" zoomScaleNormal="100" workbookViewId="0">
      <selection activeCell="AB1" sqref="AB1:AB1048576"/>
    </sheetView>
  </sheetViews>
  <sheetFormatPr baseColWidth="10" defaultRowHeight="16" x14ac:dyDescent="0.2"/>
  <cols>
    <col min="1" max="1" width="3.33203125" customWidth="1"/>
    <col min="3" max="3" width="45.83203125" customWidth="1"/>
    <col min="10" max="10" width="12.6640625" customWidth="1"/>
    <col min="11" max="12" width="16" customWidth="1"/>
    <col min="13" max="13" width="14.1640625" customWidth="1"/>
    <col min="15" max="15" width="12.5" bestFit="1" customWidth="1"/>
    <col min="16" max="16" width="12.5" customWidth="1"/>
    <col min="22" max="22" width="20.6640625" customWidth="1"/>
    <col min="23" max="23" width="27.83203125" customWidth="1"/>
    <col min="24" max="24" width="25.33203125" bestFit="1" customWidth="1"/>
    <col min="25" max="25" width="14" customWidth="1"/>
  </cols>
  <sheetData>
    <row r="2" spans="2:29" x14ac:dyDescent="0.2">
      <c r="B2" s="13">
        <f t="shared" ref="B2:K2" si="0">COLUMN()-1</f>
        <v>1</v>
      </c>
      <c r="C2" s="13">
        <f t="shared" si="0"/>
        <v>2</v>
      </c>
      <c r="D2" s="13">
        <f t="shared" si="0"/>
        <v>3</v>
      </c>
      <c r="E2" s="13">
        <f t="shared" si="0"/>
        <v>4</v>
      </c>
      <c r="F2" s="13">
        <f t="shared" si="0"/>
        <v>5</v>
      </c>
      <c r="G2" s="13">
        <f t="shared" si="0"/>
        <v>6</v>
      </c>
      <c r="H2" s="13">
        <f t="shared" si="0"/>
        <v>7</v>
      </c>
      <c r="I2" s="13">
        <f t="shared" si="0"/>
        <v>8</v>
      </c>
      <c r="J2" s="13">
        <f t="shared" si="0"/>
        <v>9</v>
      </c>
      <c r="K2" s="13">
        <f t="shared" si="0"/>
        <v>10</v>
      </c>
      <c r="L2" s="13">
        <f>COLUMN()-1</f>
        <v>11</v>
      </c>
      <c r="M2" s="13">
        <f t="shared" ref="M2:AA2" si="1">COLUMN()-1</f>
        <v>12</v>
      </c>
      <c r="N2" s="13">
        <f t="shared" si="1"/>
        <v>13</v>
      </c>
      <c r="O2" s="13">
        <f t="shared" si="1"/>
        <v>14</v>
      </c>
      <c r="P2" s="13"/>
      <c r="Q2" s="13">
        <f t="shared" si="1"/>
        <v>16</v>
      </c>
      <c r="R2" s="13">
        <f t="shared" si="1"/>
        <v>17</v>
      </c>
      <c r="S2" s="13">
        <f t="shared" si="1"/>
        <v>18</v>
      </c>
      <c r="T2" s="13">
        <f t="shared" si="1"/>
        <v>19</v>
      </c>
      <c r="U2" s="13">
        <f t="shared" si="1"/>
        <v>20</v>
      </c>
      <c r="V2" s="13">
        <f t="shared" si="1"/>
        <v>21</v>
      </c>
      <c r="W2" s="13">
        <f t="shared" si="1"/>
        <v>22</v>
      </c>
      <c r="X2" s="13">
        <f t="shared" si="1"/>
        <v>23</v>
      </c>
      <c r="Y2" s="13"/>
      <c r="Z2" s="13">
        <f t="shared" si="1"/>
        <v>25</v>
      </c>
      <c r="AA2" s="13">
        <f t="shared" si="1"/>
        <v>26</v>
      </c>
    </row>
    <row r="3" spans="2:29" s="15" customFormat="1" ht="19" x14ac:dyDescent="0.25">
      <c r="B3" s="14" t="s">
        <v>20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2:29" s="18" customFormat="1" ht="34" x14ac:dyDescent="0.2">
      <c r="B4" s="16" t="s">
        <v>21</v>
      </c>
      <c r="C4" s="16" t="s">
        <v>22</v>
      </c>
      <c r="D4" s="16" t="s">
        <v>23</v>
      </c>
      <c r="E4" s="16" t="s">
        <v>24</v>
      </c>
      <c r="F4" s="16" t="s">
        <v>25</v>
      </c>
      <c r="G4" s="16" t="s">
        <v>26</v>
      </c>
      <c r="H4" s="16" t="s">
        <v>27</v>
      </c>
      <c r="I4" s="16" t="s">
        <v>28</v>
      </c>
      <c r="J4" s="16" t="s">
        <v>29</v>
      </c>
      <c r="K4" s="16" t="s">
        <v>30</v>
      </c>
      <c r="L4" s="16" t="s">
        <v>31</v>
      </c>
      <c r="M4" s="16" t="s">
        <v>32</v>
      </c>
      <c r="N4" s="16" t="s">
        <v>33</v>
      </c>
      <c r="O4" s="16" t="s">
        <v>34</v>
      </c>
      <c r="P4" s="16" t="s">
        <v>35</v>
      </c>
      <c r="Q4" s="16" t="s">
        <v>36</v>
      </c>
      <c r="R4" s="16" t="s">
        <v>37</v>
      </c>
      <c r="S4" s="16" t="s">
        <v>38</v>
      </c>
      <c r="T4" s="16" t="s">
        <v>3</v>
      </c>
      <c r="U4" s="16" t="s">
        <v>39</v>
      </c>
      <c r="V4" s="16" t="s">
        <v>40</v>
      </c>
      <c r="W4" s="16" t="s">
        <v>41</v>
      </c>
      <c r="X4" s="16" t="s">
        <v>42</v>
      </c>
      <c r="Y4" s="16" t="s">
        <v>159</v>
      </c>
      <c r="Z4" s="16" t="s">
        <v>158</v>
      </c>
      <c r="AA4" s="16" t="s">
        <v>178</v>
      </c>
      <c r="AB4" s="17"/>
      <c r="AC4" s="17"/>
    </row>
    <row r="5" spans="2:29" x14ac:dyDescent="0.2">
      <c r="B5" s="19">
        <v>2001</v>
      </c>
      <c r="C5" s="19" t="s">
        <v>43</v>
      </c>
      <c r="D5" s="20">
        <v>42883</v>
      </c>
      <c r="E5" s="19">
        <v>10</v>
      </c>
      <c r="F5" s="21">
        <v>28500</v>
      </c>
      <c r="G5" s="22">
        <v>0.12</v>
      </c>
      <c r="H5" s="22">
        <v>0.12</v>
      </c>
      <c r="I5" s="21"/>
      <c r="J5" s="23" t="str">
        <f>IF(T_Prestamos[[#This Row],[Garantía]]="","",T_Prestamos[[#This Row],[Pendiente]]/T_Prestamos[[#This Row],[Garantía]])</f>
        <v/>
      </c>
      <c r="K5" s="19" t="s">
        <v>44</v>
      </c>
      <c r="L5" s="19" t="s">
        <v>45</v>
      </c>
      <c r="M5" s="19" t="s">
        <v>46</v>
      </c>
      <c r="N5" s="19" t="s">
        <v>47</v>
      </c>
      <c r="O5" s="20">
        <v>45770</v>
      </c>
      <c r="P5" s="20"/>
      <c r="Q5" s="21">
        <f ca="1">IF(T_Prestamos[[#This Row],[Situación]]="Cancelados",T_Prestamos[[#This Row],[Fecha cancelación]],TODAY())-T_Prestamos[[#This Row],[firma préstamo]]</f>
        <v>2887</v>
      </c>
      <c r="R5" s="24">
        <f ca="1">IF(T_Prestamos[[#This Row],[Situación]]="Cancelada","",DATEDIF(T_Prestamos[[#This Row],[firma préstamo]],TODAY(),"m"))</f>
        <v>105</v>
      </c>
      <c r="S5" s="25">
        <f>IF(T_Prestamos[[#This Row],[Situación]]="Cancelados",0,IF(T_Prestamos[[#This Row],[Tipo préstamo]]="Americano",T_Prestamos[[#This Row],[Importe]],T_Prestamos[[#This Row],[Importe]]+CUMPRINC(G5/12,E5*12,F5,1,R5,0)))</f>
        <v>0</v>
      </c>
      <c r="T5" s="25">
        <f>IF(T_Prestamos[[#This Row],[Situación]]="Cancelados",0,IF(T_Prestamos[[#This Row],[Tipo préstamo]]="Americano",T_Prestamos[[#This Row],[Pendiente]]*T_Prestamos[[#This Row],[% interés ordinario]],-CUMIPMT(G5/12,E5*12,F5,R5,R5+11,0)))</f>
        <v>0</v>
      </c>
      <c r="U5" s="26">
        <v>0</v>
      </c>
      <c r="V5" s="27">
        <f>T_Prestamos[[#This Row],[% apertura]]*T_Prestamos[[#This Row],[Importe]]</f>
        <v>0</v>
      </c>
      <c r="W5" s="28"/>
      <c r="X5" s="29"/>
      <c r="Y5" s="27">
        <f ca="1">IF(T_Prestamos[[#This Row],[Situación]]="Activos",IF(T_Prestamos[[#This Row],[Tipo préstamo]]="Francés",DATEDIF(T_Prestamos[[#This Row],[firma préstamo]],DATE(YEAR(TODAY()),1,1),"m"),0),0)</f>
        <v>0</v>
      </c>
      <c r="Z5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5" s="41">
        <f ca="1">IF(T_Prestamos[[#This Row],[firma préstamo]]&gt;DATE(YEAR(TODAY())-1,MONTH(TODAY()),DAY(TODAY())),T_Prestamos[[#This Row],[Importe]]*T_Prestamos[[#This Row],[% apertura]],0)</f>
        <v>0</v>
      </c>
    </row>
    <row r="6" spans="2:29" x14ac:dyDescent="0.2">
      <c r="B6" s="19">
        <v>2002</v>
      </c>
      <c r="C6" s="19" t="s">
        <v>48</v>
      </c>
      <c r="D6" s="20">
        <v>43003</v>
      </c>
      <c r="E6" s="19">
        <v>11</v>
      </c>
      <c r="F6" s="21">
        <v>47500</v>
      </c>
      <c r="G6" s="22">
        <v>0.125</v>
      </c>
      <c r="H6" s="22">
        <v>0.14499999999999999</v>
      </c>
      <c r="I6" s="21"/>
      <c r="J6" s="23" t="str">
        <f>IF(T_Prestamos[[#This Row],[Garantía]]="","",T_Prestamos[[#This Row],[Pendiente]]/T_Prestamos[[#This Row],[Garantía]])</f>
        <v/>
      </c>
      <c r="K6" s="19" t="s">
        <v>44</v>
      </c>
      <c r="L6" s="19" t="s">
        <v>45</v>
      </c>
      <c r="M6" s="19" t="s">
        <v>46</v>
      </c>
      <c r="N6" s="19" t="s">
        <v>47</v>
      </c>
      <c r="O6" s="20">
        <v>43532</v>
      </c>
      <c r="P6" s="20"/>
      <c r="Q6" s="21">
        <f ca="1">IF(T_Prestamos[[#This Row],[Situación]]="Cancelados",T_Prestamos[[#This Row],[Fecha cancelación]],TODAY())-T_Prestamos[[#This Row],[firma préstamo]]</f>
        <v>529</v>
      </c>
      <c r="R6" s="24">
        <f ca="1">IF(T_Prestamos[[#This Row],[Situación]]="Cancelada","",DATEDIF(T_Prestamos[[#This Row],[firma préstamo]],TODAY(),"m"))</f>
        <v>101</v>
      </c>
      <c r="S6" s="25">
        <f>IF(T_Prestamos[[#This Row],[Situación]]="Cancelados",0,IF(T_Prestamos[[#This Row],[Tipo préstamo]]="Americano",T_Prestamos[[#This Row],[Importe]],T_Prestamos[[#This Row],[Importe]]+CUMPRINC(G6/12,E6*12,F6,1,R6,0)))</f>
        <v>0</v>
      </c>
      <c r="T6" s="25">
        <f>IF(T_Prestamos[[#This Row],[Situación]]="Cancelados",0,IF(T_Prestamos[[#This Row],[Tipo préstamo]]="Americano",T_Prestamos[[#This Row],[Pendiente]]*T_Prestamos[[#This Row],[% interés ordinario]],-CUMIPMT(G6/12,E6*12,F6,R6,R6+11,0)))</f>
        <v>0</v>
      </c>
      <c r="U6" s="26">
        <v>0</v>
      </c>
      <c r="V6" s="27">
        <f>T_Prestamos[[#This Row],[% apertura]]*T_Prestamos[[#This Row],[Importe]]</f>
        <v>0</v>
      </c>
      <c r="W6" s="28"/>
      <c r="X6" s="29"/>
      <c r="Y6" s="27">
        <f ca="1">IF(T_Prestamos[[#This Row],[Situación]]="Activos",IF(T_Prestamos[[#This Row],[Tipo préstamo]]="Francés",DATEDIF(T_Prestamos[[#This Row],[firma préstamo]],DATE(YEAR(TODAY()),1,1),"m"),0),0)</f>
        <v>0</v>
      </c>
      <c r="Z6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6" s="41">
        <f ca="1">IF(T_Prestamos[[#This Row],[firma préstamo]]&gt;DATE(YEAR(TODAY())-1,MONTH(TODAY()),DAY(TODAY())),T_Prestamos[[#This Row],[Importe]]*T_Prestamos[[#This Row],[% apertura]],0)</f>
        <v>0</v>
      </c>
    </row>
    <row r="7" spans="2:29" x14ac:dyDescent="0.2">
      <c r="B7" s="19">
        <v>2003</v>
      </c>
      <c r="C7" s="19" t="s">
        <v>49</v>
      </c>
      <c r="D7" s="20">
        <v>43041</v>
      </c>
      <c r="E7" s="19">
        <v>10</v>
      </c>
      <c r="F7" s="21">
        <v>45000</v>
      </c>
      <c r="G7" s="22">
        <v>0.125</v>
      </c>
      <c r="H7" s="22">
        <f>T_Prestamos[[#This Row],[% interés ordinario]]+3%</f>
        <v>0.155</v>
      </c>
      <c r="I7" s="21"/>
      <c r="J7" s="23" t="str">
        <f>IF(T_Prestamos[[#This Row],[Garantía]]="","",T_Prestamos[[#This Row],[Pendiente]]/T_Prestamos[[#This Row],[Garantía]])</f>
        <v/>
      </c>
      <c r="K7" s="19" t="s">
        <v>44</v>
      </c>
      <c r="L7" s="19" t="s">
        <v>45</v>
      </c>
      <c r="M7" s="19" t="s">
        <v>46</v>
      </c>
      <c r="N7" s="19" t="s">
        <v>47</v>
      </c>
      <c r="O7" s="20">
        <v>44542</v>
      </c>
      <c r="P7" s="20"/>
      <c r="Q7" s="21">
        <f ca="1">IF(T_Prestamos[[#This Row],[Situación]]="Cancelados",T_Prestamos[[#This Row],[Fecha cancelación]],TODAY())-T_Prestamos[[#This Row],[firma préstamo]]</f>
        <v>1501</v>
      </c>
      <c r="R7" s="24">
        <f ca="1">IF(T_Prestamos[[#This Row],[Situación]]="Cancelada","",DATEDIF(T_Prestamos[[#This Row],[firma préstamo]],TODAY(),"m"))</f>
        <v>100</v>
      </c>
      <c r="S7" s="25">
        <f>IF(T_Prestamos[[#This Row],[Situación]]="Cancelados",0,IF(T_Prestamos[[#This Row],[Tipo préstamo]]="Americano",T_Prestamos[[#This Row],[Importe]],T_Prestamos[[#This Row],[Importe]]+CUMPRINC(G7/12,E7*12,F7,1,R7,0)))</f>
        <v>0</v>
      </c>
      <c r="T7" s="25">
        <f>IF(T_Prestamos[[#This Row],[Situación]]="Cancelados",0,IF(T_Prestamos[[#This Row],[Tipo préstamo]]="Americano",T_Prestamos[[#This Row],[Pendiente]]*T_Prestamos[[#This Row],[% interés ordinario]],-CUMIPMT(G7/12,E7*12,F7,R7,R7+11,0)))</f>
        <v>0</v>
      </c>
      <c r="U7" s="26">
        <v>0</v>
      </c>
      <c r="V7" s="27">
        <f>T_Prestamos[[#This Row],[% apertura]]*T_Prestamos[[#This Row],[Importe]]</f>
        <v>0</v>
      </c>
      <c r="W7" s="28"/>
      <c r="X7" s="29"/>
      <c r="Y7" s="27">
        <f ca="1">IF(T_Prestamos[[#This Row],[Situación]]="Activos",IF(T_Prestamos[[#This Row],[Tipo préstamo]]="Francés",DATEDIF(T_Prestamos[[#This Row],[firma préstamo]],DATE(YEAR(TODAY()),1,1),"m"),0),0)</f>
        <v>0</v>
      </c>
      <c r="Z7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7" s="41">
        <f ca="1">IF(T_Prestamos[[#This Row],[firma préstamo]]&gt;DATE(YEAR(TODAY())-1,MONTH(TODAY()),DAY(TODAY())),T_Prestamos[[#This Row],[Importe]]*T_Prestamos[[#This Row],[% apertura]],0)</f>
        <v>0</v>
      </c>
    </row>
    <row r="8" spans="2:29" s="1" customFormat="1" x14ac:dyDescent="0.2">
      <c r="B8" s="28">
        <v>2004</v>
      </c>
      <c r="C8" s="28" t="s">
        <v>50</v>
      </c>
      <c r="D8" s="30">
        <v>43040</v>
      </c>
      <c r="E8" s="28">
        <v>10</v>
      </c>
      <c r="F8" s="31">
        <v>24000</v>
      </c>
      <c r="G8" s="32">
        <v>0.15</v>
      </c>
      <c r="H8" s="32">
        <v>0.17</v>
      </c>
      <c r="I8" s="31">
        <v>91577</v>
      </c>
      <c r="J8" s="23">
        <f ca="1">IF(T_Prestamos[[#This Row],[Garantía]]="","",T_Prestamos[[#This Row],[Pendiente]]/T_Prestamos[[#This Row],[Garantía]])</f>
        <v>7.4413049033340589E-2</v>
      </c>
      <c r="K8" s="32" t="s">
        <v>44</v>
      </c>
      <c r="L8" s="28" t="s">
        <v>45</v>
      </c>
      <c r="M8" s="28" t="s">
        <v>46</v>
      </c>
      <c r="N8" s="28" t="s">
        <v>51</v>
      </c>
      <c r="O8" s="30"/>
      <c r="P8" s="30"/>
      <c r="Q8" s="31">
        <f ca="1">IF(T_Prestamos[[#This Row],[Situación]]="Cancelados",T_Prestamos[[#This Row],[Fecha cancelación]],TODAY())-T_Prestamos[[#This Row],[firma préstamo]]</f>
        <v>3056</v>
      </c>
      <c r="R8" s="31">
        <f ca="1">IF(T_Prestamos[[#This Row],[Situación]]="Cancelada","",DATEDIF(T_Prestamos[[#This Row],[firma préstamo]],TODAY(),"m"))</f>
        <v>100</v>
      </c>
      <c r="S8" s="25">
        <f ca="1">IF(T_Prestamos[[#This Row],[Situación]]="Cancelados",0,IF(T_Prestamos[[#This Row],[Tipo préstamo]]="Americano",T_Prestamos[[#This Row],[Importe]],T_Prestamos[[#This Row],[Importe]]+CUMPRINC(G8/12,E8*12,F8,1,R8,0)))</f>
        <v>6814.5237913262317</v>
      </c>
      <c r="T8" s="25">
        <f ca="1">IF(T_Prestamos[[#This Row],[Situación]]="Cancelados",0,IF(T_Prestamos[[#This Row],[Tipo préstamo]]="Americano",T_Prestamos[[#This Row],[Pendiente]]*T_Prestamos[[#This Row],[% interés ordinario]],-CUMIPMT(G8/12,E8*12,F8,R8,R8+11,0)))</f>
        <v>810.28224823295841</v>
      </c>
      <c r="U8" s="33">
        <v>0</v>
      </c>
      <c r="V8" s="34">
        <f>T_Prestamos[[#This Row],[% apertura]]*T_Prestamos[[#This Row],[Importe]]</f>
        <v>0</v>
      </c>
      <c r="W8" s="28"/>
      <c r="X8" s="28" t="s">
        <v>52</v>
      </c>
      <c r="Y8" s="41">
        <f ca="1">IF(T_Prestamos[[#This Row],[Situación]]="Activos",IF(T_Prestamos[[#This Row],[Tipo préstamo]]="Francés",DATEDIF(T_Prestamos[[#This Row],[firma préstamo]],DATE(YEAR(TODAY()),1,1),"m"),0),0)</f>
        <v>98</v>
      </c>
      <c r="Z8" s="58">
        <f ca="1"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904.41766768070738</v>
      </c>
      <c r="AA8" s="41">
        <f ca="1">IF(T_Prestamos[[#This Row],[firma préstamo]]&gt;DATE(YEAR(TODAY())-1,MONTH(TODAY()),DAY(TODAY())),T_Prestamos[[#This Row],[Importe]]*T_Prestamos[[#This Row],[% apertura]],0)</f>
        <v>0</v>
      </c>
      <c r="AB8" s="15"/>
      <c r="AC8" s="15"/>
    </row>
    <row r="9" spans="2:29" x14ac:dyDescent="0.2">
      <c r="B9" s="19">
        <v>2005</v>
      </c>
      <c r="C9" s="19" t="s">
        <v>53</v>
      </c>
      <c r="D9" s="20">
        <v>43054</v>
      </c>
      <c r="E9" s="19">
        <v>1</v>
      </c>
      <c r="F9" s="21">
        <v>14500</v>
      </c>
      <c r="G9" s="22">
        <v>0.15</v>
      </c>
      <c r="H9" s="22">
        <v>0.17</v>
      </c>
      <c r="I9" s="21"/>
      <c r="J9" s="23" t="str">
        <f>IF(T_Prestamos[[#This Row],[Garantía]]="","",T_Prestamos[[#This Row],[Pendiente]]/T_Prestamos[[#This Row],[Garantía]])</f>
        <v/>
      </c>
      <c r="K9" s="19" t="s">
        <v>44</v>
      </c>
      <c r="L9" s="19" t="s">
        <v>45</v>
      </c>
      <c r="M9" s="19" t="s">
        <v>46</v>
      </c>
      <c r="N9" s="19" t="s">
        <v>47</v>
      </c>
      <c r="O9" s="20">
        <v>43496</v>
      </c>
      <c r="P9" s="20"/>
      <c r="Q9" s="21">
        <f ca="1">IF(T_Prestamos[[#This Row],[Situación]]="Cancelados",T_Prestamos[[#This Row],[Fecha cancelación]],TODAY())-T_Prestamos[[#This Row],[firma préstamo]]</f>
        <v>442</v>
      </c>
      <c r="R9" s="24">
        <f ca="1">IF(T_Prestamos[[#This Row],[Situación]]="Cancelada","",DATEDIF(T_Prestamos[[#This Row],[firma préstamo]],TODAY(),"m"))</f>
        <v>100</v>
      </c>
      <c r="S9" s="25">
        <f>IF(T_Prestamos[[#This Row],[Situación]]="Cancelados",0,IF(T_Prestamos[[#This Row],[Tipo préstamo]]="Americano",T_Prestamos[[#This Row],[Importe]],T_Prestamos[[#This Row],[Importe]]+CUMPRINC(G9/12,E9*12,F9,1,R9,0)))</f>
        <v>0</v>
      </c>
      <c r="T9" s="25">
        <f>IF(T_Prestamos[[#This Row],[Situación]]="Cancelados",0,IF(T_Prestamos[[#This Row],[Tipo préstamo]]="Americano",T_Prestamos[[#This Row],[Pendiente]]*T_Prestamos[[#This Row],[% interés ordinario]],-CUMIPMT(G9/12,E9*12,F9,R9,R9+11,0)))</f>
        <v>0</v>
      </c>
      <c r="U9" s="26">
        <v>0</v>
      </c>
      <c r="V9" s="27">
        <f>T_Prestamos[[#This Row],[% apertura]]*T_Prestamos[[#This Row],[Importe]]</f>
        <v>0</v>
      </c>
      <c r="W9" s="28"/>
      <c r="X9" s="29"/>
      <c r="Y9" s="27">
        <f ca="1">IF(T_Prestamos[[#This Row],[Situación]]="Activos",IF(T_Prestamos[[#This Row],[Tipo préstamo]]="Francés",DATEDIF(T_Prestamos[[#This Row],[firma préstamo]],DATE(YEAR(TODAY()),1,1),"m"),0),0)</f>
        <v>0</v>
      </c>
      <c r="Z9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9" s="41">
        <f ca="1">IF(T_Prestamos[[#This Row],[firma préstamo]]&gt;DATE(YEAR(TODAY())-1,MONTH(TODAY()),DAY(TODAY())),T_Prestamos[[#This Row],[Importe]]*T_Prestamos[[#This Row],[% apertura]],0)</f>
        <v>0</v>
      </c>
    </row>
    <row r="10" spans="2:29" x14ac:dyDescent="0.2">
      <c r="B10" s="19">
        <v>2006</v>
      </c>
      <c r="C10" s="19" t="s">
        <v>54</v>
      </c>
      <c r="D10" s="20">
        <v>43055</v>
      </c>
      <c r="E10" s="19">
        <v>10</v>
      </c>
      <c r="F10" s="21">
        <v>13000</v>
      </c>
      <c r="G10" s="22">
        <v>0.15</v>
      </c>
      <c r="H10" s="22">
        <v>0.17</v>
      </c>
      <c r="I10" s="21"/>
      <c r="J10" s="23" t="str">
        <f>IF(T_Prestamos[[#This Row],[Garantía]]="","",T_Prestamos[[#This Row],[Pendiente]]/T_Prestamos[[#This Row],[Garantía]])</f>
        <v/>
      </c>
      <c r="K10" s="19" t="s">
        <v>44</v>
      </c>
      <c r="L10" s="19" t="s">
        <v>45</v>
      </c>
      <c r="M10" s="19" t="s">
        <v>46</v>
      </c>
      <c r="N10" s="19" t="s">
        <v>47</v>
      </c>
      <c r="O10" s="20">
        <v>45188</v>
      </c>
      <c r="P10" s="20"/>
      <c r="Q10" s="21">
        <f ca="1">IF(T_Prestamos[[#This Row],[Situación]]="Cancelados",T_Prestamos[[#This Row],[Fecha cancelación]],TODAY())-T_Prestamos[[#This Row],[firma préstamo]]</f>
        <v>2133</v>
      </c>
      <c r="R10" s="24">
        <f ca="1">IF(T_Prestamos[[#This Row],[Situación]]="Cancelada","",DATEDIF(T_Prestamos[[#This Row],[firma préstamo]],TODAY(),"m"))</f>
        <v>99</v>
      </c>
      <c r="S10" s="25">
        <f>IF(T_Prestamos[[#This Row],[Situación]]="Cancelados",0,IF(T_Prestamos[[#This Row],[Tipo préstamo]]="Americano",T_Prestamos[[#This Row],[Importe]],T_Prestamos[[#This Row],[Importe]]+CUMPRINC(G10/12,E10*12,F10,1,R10,0)))</f>
        <v>0</v>
      </c>
      <c r="T10" s="25">
        <f>IF(T_Prestamos[[#This Row],[Situación]]="Cancelados",0,IF(T_Prestamos[[#This Row],[Tipo préstamo]]="Americano",T_Prestamos[[#This Row],[Pendiente]]*T_Prestamos[[#This Row],[% interés ordinario]],-CUMIPMT(G10/12,E10*12,F10,R10,R10+11,0)))</f>
        <v>0</v>
      </c>
      <c r="U10" s="26">
        <v>0</v>
      </c>
      <c r="V10" s="27">
        <f>T_Prestamos[[#This Row],[% apertura]]*T_Prestamos[[#This Row],[Importe]]</f>
        <v>0</v>
      </c>
      <c r="W10" s="28"/>
      <c r="X10" s="29"/>
      <c r="Y10" s="27">
        <f ca="1">IF(T_Prestamos[[#This Row],[Situación]]="Activos",IF(T_Prestamos[[#This Row],[Tipo préstamo]]="Francés",DATEDIF(T_Prestamos[[#This Row],[firma préstamo]],DATE(YEAR(TODAY()),1,1),"m"),0),0)</f>
        <v>0</v>
      </c>
      <c r="Z10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10" s="41">
        <f ca="1">IF(T_Prestamos[[#This Row],[firma préstamo]]&gt;DATE(YEAR(TODAY())-1,MONTH(TODAY()),DAY(TODAY())),T_Prestamos[[#This Row],[Importe]]*T_Prestamos[[#This Row],[% apertura]],0)</f>
        <v>0</v>
      </c>
    </row>
    <row r="11" spans="2:29" x14ac:dyDescent="0.2">
      <c r="B11" s="19">
        <v>2007</v>
      </c>
      <c r="C11" s="19" t="s">
        <v>55</v>
      </c>
      <c r="D11" s="20">
        <v>43055</v>
      </c>
      <c r="E11" s="19">
        <v>5</v>
      </c>
      <c r="F11" s="21">
        <v>16500</v>
      </c>
      <c r="G11" s="22">
        <v>0.15</v>
      </c>
      <c r="H11" s="22">
        <v>0.17</v>
      </c>
      <c r="I11" s="21"/>
      <c r="J11" s="23" t="str">
        <f>IF(T_Prestamos[[#This Row],[Garantía]]="","",T_Prestamos[[#This Row],[Pendiente]]/T_Prestamos[[#This Row],[Garantía]])</f>
        <v/>
      </c>
      <c r="K11" s="19" t="s">
        <v>44</v>
      </c>
      <c r="L11" s="19" t="s">
        <v>45</v>
      </c>
      <c r="M11" s="19" t="s">
        <v>46</v>
      </c>
      <c r="N11" s="19" t="s">
        <v>47</v>
      </c>
      <c r="O11" s="20">
        <v>43171</v>
      </c>
      <c r="P11" s="20"/>
      <c r="Q11" s="21">
        <f ca="1">IF(T_Prestamos[[#This Row],[Situación]]="Cancelados",T_Prestamos[[#This Row],[Fecha cancelación]],TODAY())-T_Prestamos[[#This Row],[firma préstamo]]</f>
        <v>116</v>
      </c>
      <c r="R11" s="24">
        <f ca="1">IF(T_Prestamos[[#This Row],[Situación]]="Cancelada","",DATEDIF(T_Prestamos[[#This Row],[firma préstamo]],TODAY(),"m"))</f>
        <v>99</v>
      </c>
      <c r="S11" s="25">
        <f>IF(T_Prestamos[[#This Row],[Situación]]="Cancelados",0,IF(T_Prestamos[[#This Row],[Tipo préstamo]]="Americano",T_Prestamos[[#This Row],[Importe]],T_Prestamos[[#This Row],[Importe]]+CUMPRINC(G11/12,E11*12,F11,1,R11,0)))</f>
        <v>0</v>
      </c>
      <c r="T11" s="25">
        <f>IF(T_Prestamos[[#This Row],[Situación]]="Cancelados",0,IF(T_Prestamos[[#This Row],[Tipo préstamo]]="Americano",T_Prestamos[[#This Row],[Pendiente]]*T_Prestamos[[#This Row],[% interés ordinario]],-CUMIPMT(G11/12,E11*12,F11,R11,R11+11,0)))</f>
        <v>0</v>
      </c>
      <c r="U11" s="26">
        <v>0</v>
      </c>
      <c r="V11" s="27">
        <f>T_Prestamos[[#This Row],[% apertura]]*T_Prestamos[[#This Row],[Importe]]</f>
        <v>0</v>
      </c>
      <c r="W11" s="28"/>
      <c r="X11" s="29"/>
      <c r="Y11" s="27">
        <f ca="1">IF(T_Prestamos[[#This Row],[Situación]]="Activos",IF(T_Prestamos[[#This Row],[Tipo préstamo]]="Francés",DATEDIF(T_Prestamos[[#This Row],[firma préstamo]],DATE(YEAR(TODAY()),1,1),"m"),0),0)</f>
        <v>0</v>
      </c>
      <c r="Z11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11" s="41">
        <f ca="1">IF(T_Prestamos[[#This Row],[firma préstamo]]&gt;DATE(YEAR(TODAY())-1,MONTH(TODAY()),DAY(TODAY())),T_Prestamos[[#This Row],[Importe]]*T_Prestamos[[#This Row],[% apertura]],0)</f>
        <v>0</v>
      </c>
    </row>
    <row r="12" spans="2:29" x14ac:dyDescent="0.2">
      <c r="B12" s="19">
        <v>2008</v>
      </c>
      <c r="C12" s="19" t="s">
        <v>56</v>
      </c>
      <c r="D12" s="20">
        <v>42797</v>
      </c>
      <c r="E12" s="19">
        <v>10</v>
      </c>
      <c r="F12" s="21">
        <v>26500</v>
      </c>
      <c r="G12" s="22">
        <v>0.15</v>
      </c>
      <c r="H12" s="22">
        <v>0.17</v>
      </c>
      <c r="I12" s="21"/>
      <c r="J12" s="23" t="str">
        <f>IF(T_Prestamos[[#This Row],[Garantía]]="","",T_Prestamos[[#This Row],[Pendiente]]/T_Prestamos[[#This Row],[Garantía]])</f>
        <v/>
      </c>
      <c r="K12" s="19" t="s">
        <v>44</v>
      </c>
      <c r="L12" s="19" t="s">
        <v>45</v>
      </c>
      <c r="M12" s="19" t="s">
        <v>46</v>
      </c>
      <c r="N12" s="19" t="s">
        <v>47</v>
      </c>
      <c r="O12" s="20">
        <v>43090</v>
      </c>
      <c r="P12" s="20"/>
      <c r="Q12" s="21">
        <f ca="1">IF(T_Prestamos[[#This Row],[Situación]]="Cancelados",T_Prestamos[[#This Row],[Fecha cancelación]],TODAY())-T_Prestamos[[#This Row],[firma préstamo]]</f>
        <v>293</v>
      </c>
      <c r="R12" s="24">
        <f ca="1">IF(T_Prestamos[[#This Row],[Situación]]="Cancelada","",DATEDIF(T_Prestamos[[#This Row],[firma préstamo]],TODAY(),"m"))</f>
        <v>108</v>
      </c>
      <c r="S12" s="25">
        <f>IF(T_Prestamos[[#This Row],[Situación]]="Cancelados",0,IF(T_Prestamos[[#This Row],[Tipo préstamo]]="Americano",T_Prestamos[[#This Row],[Importe]],T_Prestamos[[#This Row],[Importe]]+CUMPRINC(G12/12,E12*12,F12,1,R12,0)))</f>
        <v>0</v>
      </c>
      <c r="T12" s="25">
        <f>IF(T_Prestamos[[#This Row],[Situación]]="Cancelados",0,IF(T_Prestamos[[#This Row],[Tipo préstamo]]="Americano",T_Prestamos[[#This Row],[Pendiente]]*T_Prestamos[[#This Row],[% interés ordinario]],-CUMIPMT(G12/12,E12*12,F12,R12,R12+11,0)))</f>
        <v>0</v>
      </c>
      <c r="U12" s="26">
        <v>0</v>
      </c>
      <c r="V12" s="27">
        <f>T_Prestamos[[#This Row],[% apertura]]*T_Prestamos[[#This Row],[Importe]]</f>
        <v>0</v>
      </c>
      <c r="W12" s="28"/>
      <c r="X12" s="29"/>
      <c r="Y12" s="27">
        <f ca="1">IF(T_Prestamos[[#This Row],[Situación]]="Activos",IF(T_Prestamos[[#This Row],[Tipo préstamo]]="Francés",DATEDIF(T_Prestamos[[#This Row],[firma préstamo]],DATE(YEAR(TODAY()),1,1),"m"),0),0)</f>
        <v>0</v>
      </c>
      <c r="Z12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12" s="41">
        <f ca="1">IF(T_Prestamos[[#This Row],[firma préstamo]]&gt;DATE(YEAR(TODAY())-1,MONTH(TODAY()),DAY(TODAY())),T_Prestamos[[#This Row],[Importe]]*T_Prestamos[[#This Row],[% apertura]],0)</f>
        <v>0</v>
      </c>
    </row>
    <row r="13" spans="2:29" x14ac:dyDescent="0.2">
      <c r="B13" s="19">
        <v>2009</v>
      </c>
      <c r="C13" s="19" t="s">
        <v>57</v>
      </c>
      <c r="D13" s="20">
        <v>42648</v>
      </c>
      <c r="E13" s="19">
        <v>3</v>
      </c>
      <c r="F13" s="21">
        <v>16000</v>
      </c>
      <c r="G13" s="22">
        <v>0.125</v>
      </c>
      <c r="H13" s="22">
        <v>0.125</v>
      </c>
      <c r="I13" s="21"/>
      <c r="J13" s="23" t="str">
        <f>IF(T_Prestamos[[#This Row],[Garantía]]="","",T_Prestamos[[#This Row],[Pendiente]]/T_Prestamos[[#This Row],[Garantía]])</f>
        <v/>
      </c>
      <c r="K13" s="19" t="s">
        <v>44</v>
      </c>
      <c r="L13" s="19" t="s">
        <v>58</v>
      </c>
      <c r="M13" s="19" t="s">
        <v>46</v>
      </c>
      <c r="N13" s="19" t="s">
        <v>47</v>
      </c>
      <c r="O13" s="20">
        <v>43586</v>
      </c>
      <c r="P13" s="20"/>
      <c r="Q13" s="21">
        <f ca="1">IF(T_Prestamos[[#This Row],[Situación]]="Cancelados",T_Prestamos[[#This Row],[Fecha cancelación]],TODAY())-T_Prestamos[[#This Row],[firma préstamo]]</f>
        <v>938</v>
      </c>
      <c r="R13" s="24">
        <f ca="1">IF(T_Prestamos[[#This Row],[Situación]]="Cancelada","",DATEDIF(T_Prestamos[[#This Row],[firma préstamo]],TODAY(),"m"))</f>
        <v>113</v>
      </c>
      <c r="S13" s="25">
        <f>IF(T_Prestamos[[#This Row],[Situación]]="Cancelados",0,IF(T_Prestamos[[#This Row],[Tipo préstamo]]="Americano",T_Prestamos[[#This Row],[Importe]],T_Prestamos[[#This Row],[Importe]]+CUMPRINC(G13/12,E13*12,F13,1,R13,0)))</f>
        <v>0</v>
      </c>
      <c r="T13" s="25">
        <f>IF(T_Prestamos[[#This Row],[Situación]]="Cancelados",0,IF(T_Prestamos[[#This Row],[Tipo préstamo]]="Americano",T_Prestamos[[#This Row],[Pendiente]]*T_Prestamos[[#This Row],[% interés ordinario]],-CUMIPMT(G13/12,E13*12,F13,R13,R13+11,0)))</f>
        <v>0</v>
      </c>
      <c r="U13" s="26">
        <v>0</v>
      </c>
      <c r="V13" s="27">
        <f>T_Prestamos[[#This Row],[% apertura]]*T_Prestamos[[#This Row],[Importe]]</f>
        <v>0</v>
      </c>
      <c r="W13" s="28"/>
      <c r="X13" s="29"/>
      <c r="Y13" s="27">
        <f ca="1">IF(T_Prestamos[[#This Row],[Situación]]="Activos",IF(T_Prestamos[[#This Row],[Tipo préstamo]]="Francés",DATEDIF(T_Prestamos[[#This Row],[firma préstamo]],DATE(YEAR(TODAY()),1,1),"m"),0),0)</f>
        <v>0</v>
      </c>
      <c r="Z13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13" s="41">
        <f ca="1">IF(T_Prestamos[[#This Row],[firma préstamo]]&gt;DATE(YEAR(TODAY())-1,MONTH(TODAY()),DAY(TODAY())),T_Prestamos[[#This Row],[Importe]]*T_Prestamos[[#This Row],[% apertura]],0)</f>
        <v>0</v>
      </c>
    </row>
    <row r="14" spans="2:29" x14ac:dyDescent="0.2">
      <c r="B14" s="19">
        <v>2010</v>
      </c>
      <c r="C14" s="19" t="s">
        <v>59</v>
      </c>
      <c r="D14" s="20">
        <v>43151</v>
      </c>
      <c r="E14" s="19">
        <v>1</v>
      </c>
      <c r="F14" s="21">
        <v>60375</v>
      </c>
      <c r="G14" s="22">
        <v>0.15</v>
      </c>
      <c r="H14" s="22">
        <v>0.17</v>
      </c>
      <c r="I14" s="21"/>
      <c r="J14" s="23" t="str">
        <f>IF(T_Prestamos[[#This Row],[Garantía]]="","",T_Prestamos[[#This Row],[Pendiente]]/T_Prestamos[[#This Row],[Garantía]])</f>
        <v/>
      </c>
      <c r="K14" s="19" t="s">
        <v>44</v>
      </c>
      <c r="L14" s="19" t="s">
        <v>45</v>
      </c>
      <c r="M14" s="19" t="s">
        <v>46</v>
      </c>
      <c r="N14" s="19" t="s">
        <v>47</v>
      </c>
      <c r="O14" s="20">
        <v>43742</v>
      </c>
      <c r="P14" s="20"/>
      <c r="Q14" s="21">
        <f ca="1">IF(T_Prestamos[[#This Row],[Situación]]="Cancelados",T_Prestamos[[#This Row],[Fecha cancelación]],TODAY())-T_Prestamos[[#This Row],[firma préstamo]]</f>
        <v>591</v>
      </c>
      <c r="R14" s="24">
        <f ca="1">IF(T_Prestamos[[#This Row],[Situación]]="Cancelada","",DATEDIF(T_Prestamos[[#This Row],[firma préstamo]],TODAY(),"m"))</f>
        <v>96</v>
      </c>
      <c r="S14" s="25">
        <f>IF(T_Prestamos[[#This Row],[Situación]]="Cancelados",0,IF(T_Prestamos[[#This Row],[Tipo préstamo]]="Americano",T_Prestamos[[#This Row],[Importe]],T_Prestamos[[#This Row],[Importe]]+CUMPRINC(G14/12,E14*12,F14,1,R14,0)))</f>
        <v>0</v>
      </c>
      <c r="T14" s="25">
        <f>IF(T_Prestamos[[#This Row],[Situación]]="Cancelados",0,IF(T_Prestamos[[#This Row],[Tipo préstamo]]="Americano",T_Prestamos[[#This Row],[Pendiente]]*T_Prestamos[[#This Row],[% interés ordinario]],-CUMIPMT(G14/12,E14*12,F14,R14,R14+11,0)))</f>
        <v>0</v>
      </c>
      <c r="U14" s="26">
        <v>0</v>
      </c>
      <c r="V14" s="27">
        <f>T_Prestamos[[#This Row],[% apertura]]*T_Prestamos[[#This Row],[Importe]]</f>
        <v>0</v>
      </c>
      <c r="W14" s="28"/>
      <c r="X14" s="29"/>
      <c r="Y14" s="27">
        <f ca="1">IF(T_Prestamos[[#This Row],[Situación]]="Activos",IF(T_Prestamos[[#This Row],[Tipo préstamo]]="Francés",DATEDIF(T_Prestamos[[#This Row],[firma préstamo]],DATE(YEAR(TODAY()),1,1),"m"),0),0)</f>
        <v>0</v>
      </c>
      <c r="Z14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14" s="41">
        <f ca="1">IF(T_Prestamos[[#This Row],[firma préstamo]]&gt;DATE(YEAR(TODAY())-1,MONTH(TODAY()),DAY(TODAY())),T_Prestamos[[#This Row],[Importe]]*T_Prestamos[[#This Row],[% apertura]],0)</f>
        <v>0</v>
      </c>
    </row>
    <row r="15" spans="2:29" x14ac:dyDescent="0.2">
      <c r="B15" s="19">
        <v>2011</v>
      </c>
      <c r="C15" s="19" t="s">
        <v>60</v>
      </c>
      <c r="D15" s="20">
        <v>43167</v>
      </c>
      <c r="E15" s="19">
        <v>5</v>
      </c>
      <c r="F15" s="21">
        <v>14000</v>
      </c>
      <c r="G15" s="22">
        <v>0.125</v>
      </c>
      <c r="H15" s="22">
        <v>0.14499999999999999</v>
      </c>
      <c r="I15" s="21"/>
      <c r="J15" s="23" t="str">
        <f>IF(T_Prestamos[[#This Row],[Garantía]]="","",T_Prestamos[[#This Row],[Pendiente]]/T_Prestamos[[#This Row],[Garantía]])</f>
        <v/>
      </c>
      <c r="K15" s="19" t="s">
        <v>44</v>
      </c>
      <c r="L15" s="19" t="s">
        <v>45</v>
      </c>
      <c r="M15" s="19" t="s">
        <v>46</v>
      </c>
      <c r="N15" s="19" t="s">
        <v>47</v>
      </c>
      <c r="O15" s="20">
        <v>44855</v>
      </c>
      <c r="P15" s="20"/>
      <c r="Q15" s="21">
        <f ca="1">IF(T_Prestamos[[#This Row],[Situación]]="Cancelados",T_Prestamos[[#This Row],[Fecha cancelación]],TODAY())-T_Prestamos[[#This Row],[firma préstamo]]</f>
        <v>1688</v>
      </c>
      <c r="R15" s="24">
        <f ca="1">IF(T_Prestamos[[#This Row],[Situación]]="Cancelada","",DATEDIF(T_Prestamos[[#This Row],[firma préstamo]],TODAY(),"m"))</f>
        <v>96</v>
      </c>
      <c r="S15" s="25">
        <f>IF(T_Prestamos[[#This Row],[Situación]]="Cancelados",0,IF(T_Prestamos[[#This Row],[Tipo préstamo]]="Americano",T_Prestamos[[#This Row],[Importe]],T_Prestamos[[#This Row],[Importe]]+CUMPRINC(G15/12,E15*12,F15,1,R15,0)))</f>
        <v>0</v>
      </c>
      <c r="T15" s="25">
        <f>IF(T_Prestamos[[#This Row],[Situación]]="Cancelados",0,IF(T_Prestamos[[#This Row],[Tipo préstamo]]="Americano",T_Prestamos[[#This Row],[Pendiente]]*T_Prestamos[[#This Row],[% interés ordinario]],-CUMIPMT(G15/12,E15*12,F15,R15,R15+11,0)))</f>
        <v>0</v>
      </c>
      <c r="U15" s="26">
        <v>0</v>
      </c>
      <c r="V15" s="27">
        <f>T_Prestamos[[#This Row],[% apertura]]*T_Prestamos[[#This Row],[Importe]]</f>
        <v>0</v>
      </c>
      <c r="W15" s="28"/>
      <c r="X15" s="29"/>
      <c r="Y15" s="27">
        <f ca="1">IF(T_Prestamos[[#This Row],[Situación]]="Activos",IF(T_Prestamos[[#This Row],[Tipo préstamo]]="Francés",DATEDIF(T_Prestamos[[#This Row],[firma préstamo]],DATE(YEAR(TODAY()),1,1),"m"),0),0)</f>
        <v>0</v>
      </c>
      <c r="Z15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15" s="41">
        <f ca="1">IF(T_Prestamos[[#This Row],[firma préstamo]]&gt;DATE(YEAR(TODAY())-1,MONTH(TODAY()),DAY(TODAY())),T_Prestamos[[#This Row],[Importe]]*T_Prestamos[[#This Row],[% apertura]],0)</f>
        <v>0</v>
      </c>
    </row>
    <row r="16" spans="2:29" s="1" customFormat="1" x14ac:dyDescent="0.2">
      <c r="B16" s="28">
        <v>2012</v>
      </c>
      <c r="C16" s="28" t="s">
        <v>61</v>
      </c>
      <c r="D16" s="30">
        <v>43168</v>
      </c>
      <c r="E16" s="28">
        <v>11</v>
      </c>
      <c r="F16" s="31">
        <v>34500</v>
      </c>
      <c r="G16" s="32">
        <v>0.13500000000000001</v>
      </c>
      <c r="H16" s="32">
        <f>T_Prestamos[[#This Row],[% interés ordinario]]+3%</f>
        <v>0.16500000000000001</v>
      </c>
      <c r="I16" s="31">
        <v>91505</v>
      </c>
      <c r="J16" s="23">
        <f ca="1">IF(T_Prestamos[[#This Row],[Garantía]]="","",T_Prestamos[[#This Row],[Pendiente]]/T_Prestamos[[#This Row],[Garantía]])</f>
        <v>0.16198557145638787</v>
      </c>
      <c r="K16" s="32" t="s">
        <v>44</v>
      </c>
      <c r="L16" s="28" t="s">
        <v>45</v>
      </c>
      <c r="M16" s="28" t="s">
        <v>46</v>
      </c>
      <c r="N16" s="28" t="s">
        <v>51</v>
      </c>
      <c r="O16" s="30"/>
      <c r="P16" s="30"/>
      <c r="Q16" s="31">
        <f ca="1">IF(T_Prestamos[[#This Row],[Situación]]="Cancelados",T_Prestamos[[#This Row],[Fecha cancelación]],TODAY())-T_Prestamos[[#This Row],[firma préstamo]]</f>
        <v>2928</v>
      </c>
      <c r="R16" s="31">
        <f ca="1">IF(T_Prestamos[[#This Row],[Situación]]="Cancelada","",DATEDIF(T_Prestamos[[#This Row],[firma préstamo]],TODAY(),"m"))</f>
        <v>96</v>
      </c>
      <c r="S16" s="25">
        <f ca="1">IF(T_Prestamos[[#This Row],[Situación]]="Cancelados",0,IF(T_Prestamos[[#This Row],[Tipo préstamo]]="Americano",T_Prestamos[[#This Row],[Importe]],T_Prestamos[[#This Row],[Importe]]+CUMPRINC(G16/12,E16*12,F16,1,R16,0)))</f>
        <v>14822.489716116772</v>
      </c>
      <c r="T16" s="25">
        <f ca="1">IF(T_Prestamos[[#This Row],[Situación]]="Cancelados",0,IF(T_Prestamos[[#This Row],[Tipo préstamo]]="Americano",T_Prestamos[[#This Row],[Pendiente]]*T_Prestamos[[#This Row],[% interés ordinario]],-CUMIPMT(G16/12,E16*12,F16,R16,R16+11,0)))</f>
        <v>1789.5382660793121</v>
      </c>
      <c r="U16" s="33">
        <v>0</v>
      </c>
      <c r="V16" s="34">
        <f>T_Prestamos[[#This Row],[% apertura]]*T_Prestamos[[#This Row],[Importe]]</f>
        <v>0</v>
      </c>
      <c r="W16" s="28" t="s">
        <v>62</v>
      </c>
      <c r="X16" s="28" t="s">
        <v>63</v>
      </c>
      <c r="Y16" s="41">
        <f ca="1">IF(T_Prestamos[[#This Row],[Situación]]="Activos",IF(T_Prestamos[[#This Row],[Tipo préstamo]]="Francés",DATEDIF(T_Prestamos[[#This Row],[firma préstamo]],DATE(YEAR(TODAY()),1,1),"m"),0),0)</f>
        <v>93</v>
      </c>
      <c r="Z16" s="58">
        <f ca="1"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1929.6933080702902</v>
      </c>
      <c r="AA16" s="41">
        <f ca="1">IF(T_Prestamos[[#This Row],[firma préstamo]]&gt;DATE(YEAR(TODAY())-1,MONTH(TODAY()),DAY(TODAY())),T_Prestamos[[#This Row],[Importe]]*T_Prestamos[[#This Row],[% apertura]],0)</f>
        <v>0</v>
      </c>
      <c r="AB16" s="15"/>
      <c r="AC16" s="15"/>
    </row>
    <row r="17" spans="2:30" x14ac:dyDescent="0.2">
      <c r="B17" s="19">
        <v>2013</v>
      </c>
      <c r="C17" s="19" t="s">
        <v>64</v>
      </c>
      <c r="D17" s="20">
        <v>42940</v>
      </c>
      <c r="E17" s="19">
        <v>3</v>
      </c>
      <c r="F17" s="21">
        <v>37000</v>
      </c>
      <c r="G17" s="22">
        <v>0.02</v>
      </c>
      <c r="H17" s="22">
        <f>T_Prestamos[[#This Row],[% interés ordinario]]+3%</f>
        <v>0.05</v>
      </c>
      <c r="I17" s="21"/>
      <c r="J17" s="23" t="str">
        <f>IF(T_Prestamos[[#This Row],[Garantía]]="","",T_Prestamos[[#This Row],[Pendiente]]/T_Prestamos[[#This Row],[Garantía]])</f>
        <v/>
      </c>
      <c r="K17" s="19" t="s">
        <v>44</v>
      </c>
      <c r="L17" s="19" t="s">
        <v>58</v>
      </c>
      <c r="M17" s="19" t="s">
        <v>46</v>
      </c>
      <c r="N17" s="19" t="s">
        <v>47</v>
      </c>
      <c r="O17" s="20">
        <v>43650</v>
      </c>
      <c r="P17" s="20"/>
      <c r="Q17" s="21">
        <f ca="1">IF(T_Prestamos[[#This Row],[Situación]]="Cancelados",T_Prestamos[[#This Row],[Fecha cancelación]],TODAY())-T_Prestamos[[#This Row],[firma préstamo]]</f>
        <v>710</v>
      </c>
      <c r="R17" s="24">
        <f ca="1">IF(T_Prestamos[[#This Row],[Situación]]="Cancelada","",DATEDIF(T_Prestamos[[#This Row],[firma préstamo]],TODAY(),"m"))</f>
        <v>103</v>
      </c>
      <c r="S17" s="25">
        <f>IF(T_Prestamos[[#This Row],[Situación]]="Cancelados",0,IF(T_Prestamos[[#This Row],[Tipo préstamo]]="Americano",T_Prestamos[[#This Row],[Importe]],T_Prestamos[[#This Row],[Importe]]+CUMPRINC(G17/12,E17*12,F17,1,R17,0)))</f>
        <v>0</v>
      </c>
      <c r="T17" s="25">
        <f>IF(T_Prestamos[[#This Row],[Situación]]="Cancelados",0,IF(T_Prestamos[[#This Row],[Tipo préstamo]]="Americano",T_Prestamos[[#This Row],[Pendiente]]*T_Prestamos[[#This Row],[% interés ordinario]],-CUMIPMT(G17/12,E17*12,F17,R17,R17+11,0)))</f>
        <v>0</v>
      </c>
      <c r="U17" s="26">
        <v>0</v>
      </c>
      <c r="V17" s="27">
        <f>T_Prestamos[[#This Row],[% apertura]]*T_Prestamos[[#This Row],[Importe]]</f>
        <v>0</v>
      </c>
      <c r="W17" s="28"/>
      <c r="X17" s="29"/>
      <c r="Y17" s="27">
        <f ca="1">IF(T_Prestamos[[#This Row],[Situación]]="Activos",IF(T_Prestamos[[#This Row],[Tipo préstamo]]="Francés",DATEDIF(T_Prestamos[[#This Row],[firma préstamo]],DATE(YEAR(TODAY()),1,1),"m"),0),0)</f>
        <v>0</v>
      </c>
      <c r="Z17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17" s="41">
        <f ca="1">IF(T_Prestamos[[#This Row],[firma préstamo]]&gt;DATE(YEAR(TODAY())-1,MONTH(TODAY()),DAY(TODAY())),T_Prestamos[[#This Row],[Importe]]*T_Prestamos[[#This Row],[% apertura]],0)</f>
        <v>0</v>
      </c>
    </row>
    <row r="18" spans="2:30" s="1" customFormat="1" x14ac:dyDescent="0.2">
      <c r="B18" s="19">
        <v>2014</v>
      </c>
      <c r="C18" s="19" t="s">
        <v>65</v>
      </c>
      <c r="D18" s="20">
        <v>43179</v>
      </c>
      <c r="E18" s="19">
        <v>10</v>
      </c>
      <c r="F18" s="21">
        <v>20000</v>
      </c>
      <c r="G18" s="22">
        <v>0.13500000000000001</v>
      </c>
      <c r="H18" s="22">
        <v>0.155</v>
      </c>
      <c r="I18" s="21"/>
      <c r="J18" s="23" t="str">
        <f>IF(T_Prestamos[[#This Row],[Garantía]]="","",T_Prestamos[[#This Row],[Pendiente]]/T_Prestamos[[#This Row],[Garantía]])</f>
        <v/>
      </c>
      <c r="K18" s="19" t="s">
        <v>44</v>
      </c>
      <c r="L18" s="19" t="s">
        <v>45</v>
      </c>
      <c r="M18" s="19" t="s">
        <v>46</v>
      </c>
      <c r="N18" s="19" t="s">
        <v>47</v>
      </c>
      <c r="O18" s="20">
        <v>44978</v>
      </c>
      <c r="P18" s="20"/>
      <c r="Q18" s="21">
        <f ca="1">IF(T_Prestamos[[#This Row],[Situación]]="Cancelados",T_Prestamos[[#This Row],[Fecha cancelación]],TODAY())-T_Prestamos[[#This Row],[firma préstamo]]</f>
        <v>1799</v>
      </c>
      <c r="R18" s="24">
        <f ca="1">IF(T_Prestamos[[#This Row],[Situación]]="Cancelada","",DATEDIF(T_Prestamos[[#This Row],[firma préstamo]],TODAY(),"m"))</f>
        <v>95</v>
      </c>
      <c r="S18" s="25">
        <f>IF(T_Prestamos[[#This Row],[Situación]]="Cancelados",0,IF(T_Prestamos[[#This Row],[Tipo préstamo]]="Americano",T_Prestamos[[#This Row],[Importe]],T_Prestamos[[#This Row],[Importe]]+CUMPRINC(G18/12,E18*12,F18,1,R18,0)))</f>
        <v>0</v>
      </c>
      <c r="T18" s="25">
        <f>IF(T_Prestamos[[#This Row],[Situación]]="Cancelados",0,IF(T_Prestamos[[#This Row],[Tipo préstamo]]="Americano",T_Prestamos[[#This Row],[Pendiente]]*T_Prestamos[[#This Row],[% interés ordinario]],-CUMIPMT(G18/12,E18*12,F18,R18,R18+11,0)))</f>
        <v>0</v>
      </c>
      <c r="U18" s="26">
        <v>0</v>
      </c>
      <c r="V18" s="27">
        <f>T_Prestamos[[#This Row],[% apertura]]*T_Prestamos[[#This Row],[Importe]]</f>
        <v>0</v>
      </c>
      <c r="W18" s="28"/>
      <c r="X18" s="29"/>
      <c r="Y18" s="27">
        <f ca="1">IF(T_Prestamos[[#This Row],[Situación]]="Activos",IF(T_Prestamos[[#This Row],[Tipo préstamo]]="Francés",DATEDIF(T_Prestamos[[#This Row],[firma préstamo]],DATE(YEAR(TODAY()),1,1),"m"),0),0)</f>
        <v>0</v>
      </c>
      <c r="Z18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18" s="41">
        <f ca="1">IF(T_Prestamos[[#This Row],[firma préstamo]]&gt;DATE(YEAR(TODAY())-1,MONTH(TODAY()),DAY(TODAY())),T_Prestamos[[#This Row],[Importe]]*T_Prestamos[[#This Row],[% apertura]],0)</f>
        <v>0</v>
      </c>
      <c r="AB18" s="15"/>
      <c r="AC18" s="15"/>
      <c r="AD18" s="2"/>
    </row>
    <row r="19" spans="2:30" s="1" customFormat="1" x14ac:dyDescent="0.2">
      <c r="B19" s="19">
        <v>2015</v>
      </c>
      <c r="C19" s="19" t="s">
        <v>66</v>
      </c>
      <c r="D19" s="20">
        <v>43208</v>
      </c>
      <c r="E19" s="19">
        <v>10</v>
      </c>
      <c r="F19" s="21">
        <v>36500</v>
      </c>
      <c r="G19" s="22">
        <v>0.125</v>
      </c>
      <c r="H19" s="22">
        <v>0.14499999999999999</v>
      </c>
      <c r="I19" s="21"/>
      <c r="J19" s="23" t="str">
        <f>IF(T_Prestamos[[#This Row],[Garantía]]="","",T_Prestamos[[#This Row],[Pendiente]]/T_Prestamos[[#This Row],[Garantía]])</f>
        <v/>
      </c>
      <c r="K19" s="19" t="s">
        <v>44</v>
      </c>
      <c r="L19" s="19" t="s">
        <v>45</v>
      </c>
      <c r="M19" s="19" t="s">
        <v>46</v>
      </c>
      <c r="N19" s="19" t="s">
        <v>47</v>
      </c>
      <c r="O19" s="20">
        <v>43448</v>
      </c>
      <c r="P19" s="20"/>
      <c r="Q19" s="21">
        <f ca="1">IF(T_Prestamos[[#This Row],[Situación]]="Cancelados",T_Prestamos[[#This Row],[Fecha cancelación]],TODAY())-T_Prestamos[[#This Row],[firma préstamo]]</f>
        <v>240</v>
      </c>
      <c r="R19" s="24">
        <f ca="1">IF(T_Prestamos[[#This Row],[Situación]]="Cancelada","",DATEDIF(T_Prestamos[[#This Row],[firma préstamo]],TODAY(),"m"))</f>
        <v>94</v>
      </c>
      <c r="S19" s="25">
        <f>IF(T_Prestamos[[#This Row],[Situación]]="Cancelados",0,IF(T_Prestamos[[#This Row],[Tipo préstamo]]="Americano",T_Prestamos[[#This Row],[Importe]],T_Prestamos[[#This Row],[Importe]]+CUMPRINC(G19/12,E19*12,F19,1,R19,0)))</f>
        <v>0</v>
      </c>
      <c r="T19" s="25">
        <f>IF(T_Prestamos[[#This Row],[Situación]]="Cancelados",0,IF(T_Prestamos[[#This Row],[Tipo préstamo]]="Americano",T_Prestamos[[#This Row],[Pendiente]]*T_Prestamos[[#This Row],[% interés ordinario]],-CUMIPMT(G19/12,E19*12,F19,R19,R19+11,0)))</f>
        <v>0</v>
      </c>
      <c r="U19" s="26">
        <v>0</v>
      </c>
      <c r="V19" s="27">
        <f>T_Prestamos[[#This Row],[% apertura]]*T_Prestamos[[#This Row],[Importe]]</f>
        <v>0</v>
      </c>
      <c r="W19" s="28"/>
      <c r="X19" s="29"/>
      <c r="Y19" s="27">
        <f ca="1">IF(T_Prestamos[[#This Row],[Situación]]="Activos",IF(T_Prestamos[[#This Row],[Tipo préstamo]]="Francés",DATEDIF(T_Prestamos[[#This Row],[firma préstamo]],DATE(YEAR(TODAY()),1,1),"m"),0),0)</f>
        <v>0</v>
      </c>
      <c r="Z19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19" s="41">
        <f ca="1">IF(T_Prestamos[[#This Row],[firma préstamo]]&gt;DATE(YEAR(TODAY())-1,MONTH(TODAY()),DAY(TODAY())),T_Prestamos[[#This Row],[Importe]]*T_Prestamos[[#This Row],[% apertura]],0)</f>
        <v>0</v>
      </c>
      <c r="AB19" s="15"/>
      <c r="AC19" s="15"/>
      <c r="AD19" s="2"/>
    </row>
    <row r="20" spans="2:30" x14ac:dyDescent="0.2">
      <c r="B20" s="28">
        <v>2016</v>
      </c>
      <c r="C20" s="28" t="s">
        <v>67</v>
      </c>
      <c r="D20" s="30">
        <v>43279</v>
      </c>
      <c r="E20" s="28">
        <v>10</v>
      </c>
      <c r="F20" s="31">
        <v>24500</v>
      </c>
      <c r="G20" s="32">
        <v>0.13</v>
      </c>
      <c r="H20" s="32">
        <f>T_Prestamos[[#This Row],[% interés ordinario]]+3%</f>
        <v>0.16</v>
      </c>
      <c r="I20" s="31">
        <v>89443</v>
      </c>
      <c r="J20" s="23">
        <f ca="1">IF(T_Prestamos[[#This Row],[Garantía]]="","",T_Prestamos[[#This Row],[Pendiente]]/T_Prestamos[[#This Row],[Garantía]])</f>
        <v>9.8323889299076483E-2</v>
      </c>
      <c r="K20" s="32" t="s">
        <v>44</v>
      </c>
      <c r="L20" s="28" t="s">
        <v>45</v>
      </c>
      <c r="M20" s="28" t="s">
        <v>46</v>
      </c>
      <c r="N20" s="28" t="s">
        <v>51</v>
      </c>
      <c r="O20" s="30"/>
      <c r="P20" s="30"/>
      <c r="Q20" s="31">
        <f ca="1">IF(T_Prestamos[[#This Row],[Situación]]="Cancelados",T_Prestamos[[#This Row],[Fecha cancelación]],TODAY())-T_Prestamos[[#This Row],[firma préstamo]]</f>
        <v>2817</v>
      </c>
      <c r="R20" s="31">
        <f ca="1">IF(T_Prestamos[[#This Row],[Situación]]="Cancelada","",DATEDIF(T_Prestamos[[#This Row],[firma préstamo]],TODAY(),"m"))</f>
        <v>92</v>
      </c>
      <c r="S20" s="25">
        <f ca="1">IF(T_Prestamos[[#This Row],[Situación]]="Cancelados",0,IF(T_Prestamos[[#This Row],[Tipo préstamo]]="Americano",T_Prestamos[[#This Row],[Importe]],T_Prestamos[[#This Row],[Importe]]+CUMPRINC(G20/12,E20*12,F20,1,R20,0)))</f>
        <v>8794.3836305772984</v>
      </c>
      <c r="T20" s="25">
        <f ca="1">IF(T_Prestamos[[#This Row],[Situación]]="Cancelados",0,IF(T_Prestamos[[#This Row],[Tipo préstamo]]="Americano",T_Prestamos[[#This Row],[Pendiente]]*T_Prestamos[[#This Row],[% interés ordinario]],-CUMIPMT(G20/12,E20*12,F20,R20,R20+11,0)))</f>
        <v>979.6191288785235</v>
      </c>
      <c r="U20" s="33">
        <v>0</v>
      </c>
      <c r="V20" s="34">
        <f>T_Prestamos[[#This Row],[% apertura]]*T_Prestamos[[#This Row],[Importe]]</f>
        <v>0</v>
      </c>
      <c r="W20" s="28"/>
      <c r="X20" s="28" t="s">
        <v>68</v>
      </c>
      <c r="Y20" s="41">
        <f ca="1">IF(T_Prestamos[[#This Row],[Situación]]="Activos",IF(T_Prestamos[[#This Row],[Tipo préstamo]]="Francés",DATEDIF(T_Prestamos[[#This Row],[firma préstamo]],DATE(YEAR(TODAY()),1,1),"m"),0),0)</f>
        <v>90</v>
      </c>
      <c r="Z20" s="58">
        <f ca="1"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1052.321454709208</v>
      </c>
      <c r="AA20" s="41">
        <f ca="1">IF(T_Prestamos[[#This Row],[firma préstamo]]&gt;DATE(YEAR(TODAY())-1,MONTH(TODAY()),DAY(TODAY())),T_Prestamos[[#This Row],[Importe]]*T_Prestamos[[#This Row],[% apertura]],0)</f>
        <v>0</v>
      </c>
    </row>
    <row r="21" spans="2:30" x14ac:dyDescent="0.2">
      <c r="B21" s="19">
        <v>2017</v>
      </c>
      <c r="C21" s="19" t="s">
        <v>69</v>
      </c>
      <c r="D21" s="20">
        <v>43208</v>
      </c>
      <c r="E21" s="19">
        <v>10</v>
      </c>
      <c r="F21" s="21">
        <v>36500</v>
      </c>
      <c r="G21" s="22">
        <v>0.125</v>
      </c>
      <c r="H21" s="22">
        <v>0.14499999999999999</v>
      </c>
      <c r="I21" s="21"/>
      <c r="J21" s="23" t="str">
        <f>IF(T_Prestamos[[#This Row],[Garantía]]="","",T_Prestamos[[#This Row],[Pendiente]]/T_Prestamos[[#This Row],[Garantía]])</f>
        <v/>
      </c>
      <c r="K21" s="19" t="s">
        <v>44</v>
      </c>
      <c r="L21" s="19" t="s">
        <v>45</v>
      </c>
      <c r="M21" s="19" t="s">
        <v>46</v>
      </c>
      <c r="N21" s="19" t="s">
        <v>47</v>
      </c>
      <c r="O21" s="20">
        <v>43448</v>
      </c>
      <c r="P21" s="20"/>
      <c r="Q21" s="21">
        <f ca="1">IF(T_Prestamos[[#This Row],[Situación]]="Cancelados",T_Prestamos[[#This Row],[Fecha cancelación]],TODAY())-T_Prestamos[[#This Row],[firma préstamo]]</f>
        <v>240</v>
      </c>
      <c r="R21" s="24">
        <f ca="1">IF(T_Prestamos[[#This Row],[Situación]]="Cancelada","",DATEDIF(T_Prestamos[[#This Row],[firma préstamo]],TODAY(),"m"))</f>
        <v>94</v>
      </c>
      <c r="S21" s="25">
        <f>IF(T_Prestamos[[#This Row],[Situación]]="Cancelados",0,IF(T_Prestamos[[#This Row],[Tipo préstamo]]="Americano",T_Prestamos[[#This Row],[Importe]],T_Prestamos[[#This Row],[Importe]]+CUMPRINC(G21/12,E21*12,F21,1,R21,0)))</f>
        <v>0</v>
      </c>
      <c r="T21" s="25">
        <f>IF(T_Prestamos[[#This Row],[Situación]]="Cancelados",0,IF(T_Prestamos[[#This Row],[Tipo préstamo]]="Americano",T_Prestamos[[#This Row],[Pendiente]]*T_Prestamos[[#This Row],[% interés ordinario]],-CUMIPMT(G21/12,E21*12,F21,R21,R21+11,0)))</f>
        <v>0</v>
      </c>
      <c r="U21" s="26">
        <v>0</v>
      </c>
      <c r="V21" s="27">
        <f>T_Prestamos[[#This Row],[% apertura]]*T_Prestamos[[#This Row],[Importe]]</f>
        <v>0</v>
      </c>
      <c r="W21" s="28"/>
      <c r="X21" s="29"/>
      <c r="Y21" s="27">
        <f ca="1">IF(T_Prestamos[[#This Row],[Situación]]="Activos",IF(T_Prestamos[[#This Row],[Tipo préstamo]]="Francés",DATEDIF(T_Prestamos[[#This Row],[firma préstamo]],DATE(YEAR(TODAY()),1,1),"m"),0),0)</f>
        <v>0</v>
      </c>
      <c r="Z21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21" s="41">
        <f ca="1">IF(T_Prestamos[[#This Row],[firma préstamo]]&gt;DATE(YEAR(TODAY())-1,MONTH(TODAY()),DAY(TODAY())),T_Prestamos[[#This Row],[Importe]]*T_Prestamos[[#This Row],[% apertura]],0)</f>
        <v>0</v>
      </c>
    </row>
    <row r="22" spans="2:30" x14ac:dyDescent="0.2">
      <c r="B22" s="19">
        <v>2018</v>
      </c>
      <c r="C22" s="19" t="s">
        <v>70</v>
      </c>
      <c r="D22" s="20">
        <v>43300</v>
      </c>
      <c r="E22" s="19">
        <v>10</v>
      </c>
      <c r="F22" s="21">
        <v>14500</v>
      </c>
      <c r="G22" s="22">
        <v>0.125</v>
      </c>
      <c r="H22" s="22">
        <v>0.14499999999999999</v>
      </c>
      <c r="I22" s="21"/>
      <c r="J22" s="23" t="str">
        <f>IF(T_Prestamos[[#This Row],[Garantía]]="","",T_Prestamos[[#This Row],[Pendiente]]/T_Prestamos[[#This Row],[Garantía]])</f>
        <v/>
      </c>
      <c r="K22" s="19" t="s">
        <v>44</v>
      </c>
      <c r="L22" s="19" t="s">
        <v>45</v>
      </c>
      <c r="M22" s="19" t="s">
        <v>46</v>
      </c>
      <c r="N22" s="19" t="s">
        <v>47</v>
      </c>
      <c r="O22" s="20">
        <v>43796</v>
      </c>
      <c r="P22" s="20"/>
      <c r="Q22" s="21">
        <f ca="1">IF(T_Prestamos[[#This Row],[Situación]]="Cancelados",T_Prestamos[[#This Row],[Fecha cancelación]],TODAY())-T_Prestamos[[#This Row],[firma préstamo]]</f>
        <v>496</v>
      </c>
      <c r="R22" s="24">
        <f ca="1">IF(T_Prestamos[[#This Row],[Situación]]="Cancelada","",DATEDIF(T_Prestamos[[#This Row],[firma préstamo]],TODAY(),"m"))</f>
        <v>91</v>
      </c>
      <c r="S22" s="25">
        <f>IF(T_Prestamos[[#This Row],[Situación]]="Cancelados",0,IF(T_Prestamos[[#This Row],[Tipo préstamo]]="Americano",T_Prestamos[[#This Row],[Importe]],T_Prestamos[[#This Row],[Importe]]+CUMPRINC(G22/12,E22*12,F22,1,R22,0)))</f>
        <v>0</v>
      </c>
      <c r="T22" s="25">
        <f>IF(T_Prestamos[[#This Row],[Situación]]="Cancelados",0,IF(T_Prestamos[[#This Row],[Tipo préstamo]]="Americano",T_Prestamos[[#This Row],[Pendiente]]*T_Prestamos[[#This Row],[% interés ordinario]],-CUMIPMT(G22/12,E22*12,F22,R22,R22+11,0)))</f>
        <v>0</v>
      </c>
      <c r="U22" s="26">
        <v>0</v>
      </c>
      <c r="V22" s="27">
        <f>T_Prestamos[[#This Row],[% apertura]]*T_Prestamos[[#This Row],[Importe]]</f>
        <v>0</v>
      </c>
      <c r="W22" s="28"/>
      <c r="X22" s="29"/>
      <c r="Y22" s="27">
        <f ca="1">IF(T_Prestamos[[#This Row],[Situación]]="Activos",IF(T_Prestamos[[#This Row],[Tipo préstamo]]="Francés",DATEDIF(T_Prestamos[[#This Row],[firma préstamo]],DATE(YEAR(TODAY()),1,1),"m"),0),0)</f>
        <v>0</v>
      </c>
      <c r="Z22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22" s="41">
        <f ca="1">IF(T_Prestamos[[#This Row],[firma préstamo]]&gt;DATE(YEAR(TODAY())-1,MONTH(TODAY()),DAY(TODAY())),T_Prestamos[[#This Row],[Importe]]*T_Prestamos[[#This Row],[% apertura]],0)</f>
        <v>0</v>
      </c>
    </row>
    <row r="23" spans="2:30" x14ac:dyDescent="0.2">
      <c r="B23" s="35">
        <v>2019</v>
      </c>
      <c r="C23" s="35" t="s">
        <v>71</v>
      </c>
      <c r="D23" s="36">
        <v>43319</v>
      </c>
      <c r="E23" s="35">
        <v>10</v>
      </c>
      <c r="F23" s="37">
        <v>30500</v>
      </c>
      <c r="G23" s="38">
        <v>0.125</v>
      </c>
      <c r="H23" s="38">
        <v>0.14499999999999999</v>
      </c>
      <c r="I23" s="37">
        <v>110101</v>
      </c>
      <c r="J23" s="23">
        <f ca="1">IF(T_Prestamos[[#This Row],[Garantía]]="","",T_Prestamos[[#This Row],[Pendiente]]/T_Prestamos[[#This Row],[Garantía]])</f>
        <v>0.10104167183022254</v>
      </c>
      <c r="K23" s="38" t="s">
        <v>44</v>
      </c>
      <c r="L23" s="35" t="s">
        <v>45</v>
      </c>
      <c r="M23" s="35" t="s">
        <v>46</v>
      </c>
      <c r="N23" s="35" t="s">
        <v>72</v>
      </c>
      <c r="O23" s="36"/>
      <c r="P23" s="36"/>
      <c r="Q23" s="37">
        <f ca="1">IF(T_Prestamos[[#This Row],[Situación]]="Cancelados",T_Prestamos[[#This Row],[Fecha cancelación]],TODAY())-T_Prestamos[[#This Row],[firma préstamo]]</f>
        <v>2777</v>
      </c>
      <c r="R23" s="37">
        <f ca="1">IF(T_Prestamos[[#This Row],[Situación]]="Cancelada","",DATEDIF(T_Prestamos[[#This Row],[firma préstamo]],TODAY(),"m"))</f>
        <v>91</v>
      </c>
      <c r="S23" s="25">
        <f ca="1">IF(T_Prestamos[[#This Row],[Situación]]="Cancelados",0,IF(T_Prestamos[[#This Row],[Tipo préstamo]]="Americano",T_Prestamos[[#This Row],[Importe]],T_Prestamos[[#This Row],[Importe]]+CUMPRINC(G23/12,E23*12,F23,1,R23,0)))</f>
        <v>11124.789110179332</v>
      </c>
      <c r="T23" s="25">
        <f ca="1">IF(T_Prestamos[[#This Row],[Situación]]="Cancelados",0,IF(T_Prestamos[[#This Row],[Tipo préstamo]]="Americano",T_Prestamos[[#This Row],[Pendiente]]*T_Prestamos[[#This Row],[% interés ordinario]],-CUMIPMT(G23/12,E23*12,F23,R23,R23+11,0)))</f>
        <v>1198.5774194557889</v>
      </c>
      <c r="U23" s="39">
        <v>0</v>
      </c>
      <c r="V23" s="40">
        <f>T_Prestamos[[#This Row],[% apertura]]*T_Prestamos[[#This Row],[Importe]]</f>
        <v>0</v>
      </c>
      <c r="W23" s="35" t="s">
        <v>73</v>
      </c>
      <c r="X23" s="35"/>
      <c r="Y23" s="59">
        <f ca="1">IF(T_Prestamos[[#This Row],[Situación]]="Activos",IF(T_Prestamos[[#This Row],[Tipo préstamo]]="Francés",DATEDIF(T_Prestamos[[#This Row],[firma préstamo]],DATE(YEAR(TODAY()),1,1),"m"),0),0)</f>
        <v>0</v>
      </c>
      <c r="Z23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23" s="41">
        <f ca="1">IF(T_Prestamos[[#This Row],[firma préstamo]]&gt;DATE(YEAR(TODAY())-1,MONTH(TODAY()),DAY(TODAY())),T_Prestamos[[#This Row],[Importe]]*T_Prestamos[[#This Row],[% apertura]],0)</f>
        <v>0</v>
      </c>
    </row>
    <row r="24" spans="2:30" x14ac:dyDescent="0.2">
      <c r="B24" s="19">
        <v>2020</v>
      </c>
      <c r="C24" s="19" t="s">
        <v>74</v>
      </c>
      <c r="D24" s="20">
        <v>43353</v>
      </c>
      <c r="E24" s="19">
        <v>15</v>
      </c>
      <c r="F24" s="21">
        <v>19300</v>
      </c>
      <c r="G24" s="22">
        <v>0.125</v>
      </c>
      <c r="H24" s="22">
        <v>0.14499999999999999</v>
      </c>
      <c r="I24" s="21"/>
      <c r="J24" s="23" t="str">
        <f>IF(T_Prestamos[[#This Row],[Garantía]]="","",T_Prestamos[[#This Row],[Pendiente]]/T_Prestamos[[#This Row],[Garantía]])</f>
        <v/>
      </c>
      <c r="K24" s="19" t="s">
        <v>44</v>
      </c>
      <c r="L24" s="19" t="s">
        <v>45</v>
      </c>
      <c r="M24" s="19" t="s">
        <v>46</v>
      </c>
      <c r="N24" s="19" t="s">
        <v>47</v>
      </c>
      <c r="O24" s="20">
        <v>43586</v>
      </c>
      <c r="P24" s="20"/>
      <c r="Q24" s="21">
        <f ca="1">IF(T_Prestamos[[#This Row],[Situación]]="Cancelados",T_Prestamos[[#This Row],[Fecha cancelación]],TODAY())-T_Prestamos[[#This Row],[firma préstamo]]</f>
        <v>233</v>
      </c>
      <c r="R24" s="24">
        <f ca="1">IF(T_Prestamos[[#This Row],[Situación]]="Cancelada","",DATEDIF(T_Prestamos[[#This Row],[firma préstamo]],TODAY(),"m"))</f>
        <v>90</v>
      </c>
      <c r="S24" s="25">
        <f>IF(T_Prestamos[[#This Row],[Situación]]="Cancelados",0,IF(T_Prestamos[[#This Row],[Tipo préstamo]]="Americano",T_Prestamos[[#This Row],[Importe]],T_Prestamos[[#This Row],[Importe]]+CUMPRINC(G24/12,E24*12,F24,1,R24,0)))</f>
        <v>0</v>
      </c>
      <c r="T24" s="25">
        <f>IF(T_Prestamos[[#This Row],[Situación]]="Cancelados",0,IF(T_Prestamos[[#This Row],[Tipo préstamo]]="Americano",T_Prestamos[[#This Row],[Pendiente]]*T_Prestamos[[#This Row],[% interés ordinario]],-CUMIPMT(G24/12,E24*12,F24,R24,R24+11,0)))</f>
        <v>0</v>
      </c>
      <c r="U24" s="26">
        <v>0</v>
      </c>
      <c r="V24" s="27">
        <f>T_Prestamos[[#This Row],[% apertura]]*T_Prestamos[[#This Row],[Importe]]</f>
        <v>0</v>
      </c>
      <c r="W24" s="28"/>
      <c r="X24" s="29"/>
      <c r="Y24" s="27">
        <f ca="1">IF(T_Prestamos[[#This Row],[Situación]]="Activos",IF(T_Prestamos[[#This Row],[Tipo préstamo]]="Francés",DATEDIF(T_Prestamos[[#This Row],[firma préstamo]],DATE(YEAR(TODAY()),1,1),"m"),0),0)</f>
        <v>0</v>
      </c>
      <c r="Z24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24" s="41">
        <f ca="1">IF(T_Prestamos[[#This Row],[firma préstamo]]&gt;DATE(YEAR(TODAY())-1,MONTH(TODAY()),DAY(TODAY())),T_Prestamos[[#This Row],[Importe]]*T_Prestamos[[#This Row],[% apertura]],0)</f>
        <v>0</v>
      </c>
    </row>
    <row r="25" spans="2:30" x14ac:dyDescent="0.2">
      <c r="B25" s="35">
        <v>2021</v>
      </c>
      <c r="C25" s="35" t="s">
        <v>75</v>
      </c>
      <c r="D25" s="36">
        <v>43375</v>
      </c>
      <c r="E25" s="35">
        <v>10</v>
      </c>
      <c r="F25" s="37">
        <v>15000</v>
      </c>
      <c r="G25" s="38">
        <v>0.13500000000000001</v>
      </c>
      <c r="H25" s="38">
        <v>0.155</v>
      </c>
      <c r="I25" s="37">
        <v>111078</v>
      </c>
      <c r="J25" s="23">
        <f ca="1">IF(T_Prestamos[[#This Row],[Garantía]]="","",T_Prestamos[[#This Row],[Pendiente]]/T_Prestamos[[#This Row],[Garantía]])</f>
        <v>5.3565712354973524E-2</v>
      </c>
      <c r="K25" s="38" t="s">
        <v>44</v>
      </c>
      <c r="L25" s="35" t="s">
        <v>45</v>
      </c>
      <c r="M25" s="35" t="s">
        <v>46</v>
      </c>
      <c r="N25" s="35" t="s">
        <v>72</v>
      </c>
      <c r="O25" s="36"/>
      <c r="P25" s="36"/>
      <c r="Q25" s="37">
        <f ca="1">IF(T_Prestamos[[#This Row],[Situación]]="Cancelados",T_Prestamos[[#This Row],[Fecha cancelación]],TODAY())-T_Prestamos[[#This Row],[firma préstamo]]</f>
        <v>2721</v>
      </c>
      <c r="R25" s="37">
        <f ca="1">IF(T_Prestamos[[#This Row],[Situación]]="Cancelada","",DATEDIF(T_Prestamos[[#This Row],[firma préstamo]],TODAY(),"m"))</f>
        <v>89</v>
      </c>
      <c r="S25" s="25">
        <f ca="1">IF(T_Prestamos[[#This Row],[Situación]]="Cancelados",0,IF(T_Prestamos[[#This Row],[Tipo préstamo]]="Americano",T_Prestamos[[#This Row],[Importe]],T_Prestamos[[#This Row],[Importe]]+CUMPRINC(G25/12,E25*12,F25,1,R25,0)))</f>
        <v>5949.9721969657494</v>
      </c>
      <c r="T25" s="25">
        <f ca="1">IF(T_Prestamos[[#This Row],[Situación]]="Cancelados",0,IF(T_Prestamos[[#This Row],[Tipo préstamo]]="Americano",T_Prestamos[[#This Row],[Pendiente]]*T_Prestamos[[#This Row],[% interés ordinario]],-CUMIPMT(G25/12,E25*12,F25,R25,R25+11,0)))</f>
        <v>701.68131688799303</v>
      </c>
      <c r="U25" s="39">
        <v>0</v>
      </c>
      <c r="V25" s="40">
        <f>T_Prestamos[[#This Row],[% apertura]]*T_Prestamos[[#This Row],[Importe]]</f>
        <v>0</v>
      </c>
      <c r="W25" s="35" t="s">
        <v>73</v>
      </c>
      <c r="X25" s="35"/>
      <c r="Y25" s="59">
        <f ca="1">IF(T_Prestamos[[#This Row],[Situación]]="Activos",IF(T_Prestamos[[#This Row],[Tipo préstamo]]="Francés",DATEDIF(T_Prestamos[[#This Row],[firma préstamo]],DATE(YEAR(TODAY()),1,1),"m"),0),0)</f>
        <v>0</v>
      </c>
      <c r="Z25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25" s="41">
        <f ca="1">IF(T_Prestamos[[#This Row],[firma préstamo]]&gt;DATE(YEAR(TODAY())-1,MONTH(TODAY()),DAY(TODAY())),T_Prestamos[[#This Row],[Importe]]*T_Prestamos[[#This Row],[% apertura]],0)</f>
        <v>0</v>
      </c>
    </row>
    <row r="26" spans="2:30" x14ac:dyDescent="0.2">
      <c r="B26" s="19">
        <v>2022</v>
      </c>
      <c r="C26" s="19" t="s">
        <v>76</v>
      </c>
      <c r="D26" s="20">
        <v>43375</v>
      </c>
      <c r="E26" s="19">
        <v>15</v>
      </c>
      <c r="F26" s="21">
        <v>18500</v>
      </c>
      <c r="G26" s="22">
        <v>0.13</v>
      </c>
      <c r="H26" s="22">
        <v>0.15</v>
      </c>
      <c r="I26" s="21"/>
      <c r="J26" s="23" t="str">
        <f>IF(T_Prestamos[[#This Row],[Garantía]]="","",T_Prestamos[[#This Row],[Pendiente]]/T_Prestamos[[#This Row],[Garantía]])</f>
        <v/>
      </c>
      <c r="K26" s="19" t="s">
        <v>44</v>
      </c>
      <c r="L26" s="19" t="s">
        <v>45</v>
      </c>
      <c r="M26" s="19" t="s">
        <v>46</v>
      </c>
      <c r="N26" s="19" t="s">
        <v>47</v>
      </c>
      <c r="O26" s="20">
        <v>43670</v>
      </c>
      <c r="P26" s="20"/>
      <c r="Q26" s="21">
        <f ca="1">IF(T_Prestamos[[#This Row],[Situación]]="Cancelados",T_Prestamos[[#This Row],[Fecha cancelación]],TODAY())-T_Prestamos[[#This Row],[firma préstamo]]</f>
        <v>295</v>
      </c>
      <c r="R26" s="24">
        <f ca="1">IF(T_Prestamos[[#This Row],[Situación]]="Cancelada","",DATEDIF(T_Prestamos[[#This Row],[firma préstamo]],TODAY(),"m"))</f>
        <v>89</v>
      </c>
      <c r="S26" s="25">
        <f>IF(T_Prestamos[[#This Row],[Situación]]="Cancelados",0,IF(T_Prestamos[[#This Row],[Tipo préstamo]]="Americano",T_Prestamos[[#This Row],[Importe]],T_Prestamos[[#This Row],[Importe]]+CUMPRINC(G26/12,E26*12,F26,1,R26,0)))</f>
        <v>0</v>
      </c>
      <c r="T26" s="25">
        <f>IF(T_Prestamos[[#This Row],[Situación]]="Cancelados",0,IF(T_Prestamos[[#This Row],[Tipo préstamo]]="Americano",T_Prestamos[[#This Row],[Pendiente]]*T_Prestamos[[#This Row],[% interés ordinario]],-CUMIPMT(G26/12,E26*12,F26,R26,R26+11,0)))</f>
        <v>0</v>
      </c>
      <c r="U26" s="26">
        <v>0</v>
      </c>
      <c r="V26" s="27">
        <f>T_Prestamos[[#This Row],[% apertura]]*T_Prestamos[[#This Row],[Importe]]</f>
        <v>0</v>
      </c>
      <c r="W26" s="28"/>
      <c r="X26" s="29"/>
      <c r="Y26" s="27">
        <f ca="1">IF(T_Prestamos[[#This Row],[Situación]]="Activos",IF(T_Prestamos[[#This Row],[Tipo préstamo]]="Francés",DATEDIF(T_Prestamos[[#This Row],[firma préstamo]],DATE(YEAR(TODAY()),1,1),"m"),0),0)</f>
        <v>0</v>
      </c>
      <c r="Z26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26" s="41">
        <f ca="1">IF(T_Prestamos[[#This Row],[firma préstamo]]&gt;DATE(YEAR(TODAY())-1,MONTH(TODAY()),DAY(TODAY())),T_Prestamos[[#This Row],[Importe]]*T_Prestamos[[#This Row],[% apertura]],0)</f>
        <v>0</v>
      </c>
    </row>
    <row r="27" spans="2:30" x14ac:dyDescent="0.2">
      <c r="B27" s="19">
        <v>2023</v>
      </c>
      <c r="C27" s="19" t="s">
        <v>77</v>
      </c>
      <c r="D27" s="20">
        <v>43382</v>
      </c>
      <c r="E27" s="19">
        <v>15</v>
      </c>
      <c r="F27" s="21">
        <v>27990.94</v>
      </c>
      <c r="G27" s="22">
        <v>0.15</v>
      </c>
      <c r="H27" s="22">
        <v>0.17</v>
      </c>
      <c r="I27" s="21"/>
      <c r="J27" s="23" t="str">
        <f>IF(T_Prestamos[[#This Row],[Garantía]]="","",T_Prestamos[[#This Row],[Pendiente]]/T_Prestamos[[#This Row],[Garantía]])</f>
        <v/>
      </c>
      <c r="K27" s="19" t="s">
        <v>44</v>
      </c>
      <c r="L27" s="19" t="s">
        <v>45</v>
      </c>
      <c r="M27" s="19" t="s">
        <v>46</v>
      </c>
      <c r="N27" s="19" t="s">
        <v>47</v>
      </c>
      <c r="O27" s="20">
        <v>45007</v>
      </c>
      <c r="P27" s="20"/>
      <c r="Q27" s="21">
        <f ca="1">IF(T_Prestamos[[#This Row],[Situación]]="Cancelados",T_Prestamos[[#This Row],[Fecha cancelación]],TODAY())-T_Prestamos[[#This Row],[firma préstamo]]</f>
        <v>1625</v>
      </c>
      <c r="R27" s="24">
        <f ca="1">IF(T_Prestamos[[#This Row],[Situación]]="Cancelada","",DATEDIF(T_Prestamos[[#This Row],[firma préstamo]],TODAY(),"m"))</f>
        <v>89</v>
      </c>
      <c r="S27" s="25">
        <f>IF(T_Prestamos[[#This Row],[Situación]]="Cancelados",0,IF(T_Prestamos[[#This Row],[Tipo préstamo]]="Americano",T_Prestamos[[#This Row],[Importe]],T_Prestamos[[#This Row],[Importe]]+CUMPRINC(G27/12,E27*12,F27,1,R27,0)))</f>
        <v>0</v>
      </c>
      <c r="T27" s="25">
        <f>IF(T_Prestamos[[#This Row],[Situación]]="Cancelados",0,IF(T_Prestamos[[#This Row],[Tipo préstamo]]="Americano",T_Prestamos[[#This Row],[Pendiente]]*T_Prestamos[[#This Row],[% interés ordinario]],-CUMIPMT(G27/12,E27*12,F27,R27,R27+11,0)))</f>
        <v>0</v>
      </c>
      <c r="U27" s="26">
        <v>0</v>
      </c>
      <c r="V27" s="27">
        <f>T_Prestamos[[#This Row],[% apertura]]*T_Prestamos[[#This Row],[Importe]]</f>
        <v>0</v>
      </c>
      <c r="W27" s="28"/>
      <c r="X27" s="29"/>
      <c r="Y27" s="27">
        <f ca="1">IF(T_Prestamos[[#This Row],[Situación]]="Activos",IF(T_Prestamos[[#This Row],[Tipo préstamo]]="Francés",DATEDIF(T_Prestamos[[#This Row],[firma préstamo]],DATE(YEAR(TODAY()),1,1),"m"),0),0)</f>
        <v>0</v>
      </c>
      <c r="Z27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27" s="41">
        <f ca="1">IF(T_Prestamos[[#This Row],[firma préstamo]]&gt;DATE(YEAR(TODAY())-1,MONTH(TODAY()),DAY(TODAY())),T_Prestamos[[#This Row],[Importe]]*T_Prestamos[[#This Row],[% apertura]],0)</f>
        <v>0</v>
      </c>
    </row>
    <row r="28" spans="2:30" s="1" customFormat="1" x14ac:dyDescent="0.2">
      <c r="B28" s="19">
        <v>2024</v>
      </c>
      <c r="C28" s="19" t="s">
        <v>78</v>
      </c>
      <c r="D28" s="20">
        <v>43503</v>
      </c>
      <c r="E28" s="19">
        <v>10</v>
      </c>
      <c r="F28" s="21">
        <v>20000</v>
      </c>
      <c r="G28" s="22">
        <v>0.125</v>
      </c>
      <c r="H28" s="22">
        <v>0.14499999999999999</v>
      </c>
      <c r="I28" s="21"/>
      <c r="J28" s="23" t="str">
        <f>IF(T_Prestamos[[#This Row],[Garantía]]="","",T_Prestamos[[#This Row],[Pendiente]]/T_Prestamos[[#This Row],[Garantía]])</f>
        <v/>
      </c>
      <c r="K28" s="19" t="s">
        <v>44</v>
      </c>
      <c r="L28" s="19" t="s">
        <v>45</v>
      </c>
      <c r="M28" s="19" t="s">
        <v>46</v>
      </c>
      <c r="N28" s="19" t="s">
        <v>47</v>
      </c>
      <c r="O28" s="20">
        <v>44742</v>
      </c>
      <c r="P28" s="20"/>
      <c r="Q28" s="21">
        <f ca="1">IF(T_Prestamos[[#This Row],[Situación]]="Cancelados",T_Prestamos[[#This Row],[Fecha cancelación]],TODAY())-T_Prestamos[[#This Row],[firma préstamo]]</f>
        <v>1239</v>
      </c>
      <c r="R28" s="24">
        <f ca="1">IF(T_Prestamos[[#This Row],[Situación]]="Cancelada","",DATEDIF(T_Prestamos[[#This Row],[firma préstamo]],TODAY(),"m"))</f>
        <v>85</v>
      </c>
      <c r="S28" s="25">
        <f>IF(T_Prestamos[[#This Row],[Situación]]="Cancelados",0,IF(T_Prestamos[[#This Row],[Tipo préstamo]]="Americano",T_Prestamos[[#This Row],[Importe]],T_Prestamos[[#This Row],[Importe]]+CUMPRINC(G28/12,E28*12,F28,1,R28,0)))</f>
        <v>0</v>
      </c>
      <c r="T28" s="25">
        <f>IF(T_Prestamos[[#This Row],[Situación]]="Cancelados",0,IF(T_Prestamos[[#This Row],[Tipo préstamo]]="Americano",T_Prestamos[[#This Row],[Pendiente]]*T_Prestamos[[#This Row],[% interés ordinario]],-CUMIPMT(G28/12,E28*12,F28,R28,R28+11,0)))</f>
        <v>0</v>
      </c>
      <c r="U28" s="26">
        <v>0</v>
      </c>
      <c r="V28" s="27">
        <f>T_Prestamos[[#This Row],[% apertura]]*T_Prestamos[[#This Row],[Importe]]</f>
        <v>0</v>
      </c>
      <c r="W28" s="28"/>
      <c r="X28" s="29"/>
      <c r="Y28" s="27">
        <f ca="1">IF(T_Prestamos[[#This Row],[Situación]]="Activos",IF(T_Prestamos[[#This Row],[Tipo préstamo]]="Francés",DATEDIF(T_Prestamos[[#This Row],[firma préstamo]],DATE(YEAR(TODAY()),1,1),"m"),0),0)</f>
        <v>0</v>
      </c>
      <c r="Z28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28" s="41">
        <f ca="1">IF(T_Prestamos[[#This Row],[firma préstamo]]&gt;DATE(YEAR(TODAY())-1,MONTH(TODAY()),DAY(TODAY())),T_Prestamos[[#This Row],[Importe]]*T_Prestamos[[#This Row],[% apertura]],0)</f>
        <v>0</v>
      </c>
      <c r="AB28" s="15"/>
      <c r="AC28" s="15"/>
    </row>
    <row r="29" spans="2:30" x14ac:dyDescent="0.2">
      <c r="B29" s="19">
        <v>2025</v>
      </c>
      <c r="C29" s="19" t="s">
        <v>79</v>
      </c>
      <c r="D29" s="20">
        <v>43503</v>
      </c>
      <c r="E29" s="19">
        <v>10</v>
      </c>
      <c r="F29" s="21">
        <v>11100</v>
      </c>
      <c r="G29" s="22">
        <v>0.125</v>
      </c>
      <c r="H29" s="22">
        <v>0.14499999999999999</v>
      </c>
      <c r="I29" s="21"/>
      <c r="J29" s="23" t="str">
        <f>IF(T_Prestamos[[#This Row],[Garantía]]="","",T_Prestamos[[#This Row],[Pendiente]]/T_Prestamos[[#This Row],[Garantía]])</f>
        <v/>
      </c>
      <c r="K29" s="19" t="s">
        <v>44</v>
      </c>
      <c r="L29" s="19" t="s">
        <v>45</v>
      </c>
      <c r="M29" s="19" t="s">
        <v>46</v>
      </c>
      <c r="N29" s="19" t="s">
        <v>47</v>
      </c>
      <c r="O29" s="20">
        <v>44134</v>
      </c>
      <c r="P29" s="20"/>
      <c r="Q29" s="21">
        <f ca="1">IF(T_Prestamos[[#This Row],[Situación]]="Cancelados",T_Prestamos[[#This Row],[Fecha cancelación]],TODAY())-T_Prestamos[[#This Row],[firma préstamo]]</f>
        <v>631</v>
      </c>
      <c r="R29" s="24">
        <f ca="1">IF(T_Prestamos[[#This Row],[Situación]]="Cancelada","",DATEDIF(T_Prestamos[[#This Row],[firma préstamo]],TODAY(),"m"))</f>
        <v>85</v>
      </c>
      <c r="S29" s="25">
        <f>IF(T_Prestamos[[#This Row],[Situación]]="Cancelados",0,IF(T_Prestamos[[#This Row],[Tipo préstamo]]="Americano",T_Prestamos[[#This Row],[Importe]],T_Prestamos[[#This Row],[Importe]]+CUMPRINC(G29/12,E29*12,F29,1,R29,0)))</f>
        <v>0</v>
      </c>
      <c r="T29" s="25">
        <f>IF(T_Prestamos[[#This Row],[Situación]]="Cancelados",0,IF(T_Prestamos[[#This Row],[Tipo préstamo]]="Americano",T_Prestamos[[#This Row],[Pendiente]]*T_Prestamos[[#This Row],[% interés ordinario]],-CUMIPMT(G29/12,E29*12,F29,R29,R29+11,0)))</f>
        <v>0</v>
      </c>
      <c r="U29" s="26">
        <v>0</v>
      </c>
      <c r="V29" s="27">
        <f>T_Prestamos[[#This Row],[% apertura]]*T_Prestamos[[#This Row],[Importe]]</f>
        <v>0</v>
      </c>
      <c r="W29" s="28"/>
      <c r="X29" s="29"/>
      <c r="Y29" s="27">
        <f ca="1">IF(T_Prestamos[[#This Row],[Situación]]="Activos",IF(T_Prestamos[[#This Row],[Tipo préstamo]]="Francés",DATEDIF(T_Prestamos[[#This Row],[firma préstamo]],DATE(YEAR(TODAY()),1,1),"m"),0),0)</f>
        <v>0</v>
      </c>
      <c r="Z29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29" s="41">
        <f ca="1">IF(T_Prestamos[[#This Row],[firma préstamo]]&gt;DATE(YEAR(TODAY())-1,MONTH(TODAY()),DAY(TODAY())),T_Prestamos[[#This Row],[Importe]]*T_Prestamos[[#This Row],[% apertura]],0)</f>
        <v>0</v>
      </c>
    </row>
    <row r="30" spans="2:30" s="1" customFormat="1" x14ac:dyDescent="0.2">
      <c r="B30" s="28">
        <v>2026</v>
      </c>
      <c r="C30" s="28" t="s">
        <v>80</v>
      </c>
      <c r="D30" s="30">
        <v>43524</v>
      </c>
      <c r="E30" s="28">
        <v>15</v>
      </c>
      <c r="F30" s="31">
        <v>18000</v>
      </c>
      <c r="G30" s="32">
        <v>0.125</v>
      </c>
      <c r="H30" s="32">
        <v>0.14499999999999999</v>
      </c>
      <c r="I30" s="31">
        <f>167565/40500*18000</f>
        <v>74473.333333333328</v>
      </c>
      <c r="J30" s="23">
        <f ca="1">IF(T_Prestamos[[#This Row],[Garantía]]="","",T_Prestamos[[#This Row],[Pendiente]]/T_Prestamos[[#This Row],[Garantía]])</f>
        <v>0.18022908150762307</v>
      </c>
      <c r="K30" s="32" t="s">
        <v>44</v>
      </c>
      <c r="L30" s="28" t="s">
        <v>45</v>
      </c>
      <c r="M30" s="28" t="s">
        <v>46</v>
      </c>
      <c r="N30" s="28" t="s">
        <v>51</v>
      </c>
      <c r="O30" s="30"/>
      <c r="P30" s="30"/>
      <c r="Q30" s="31">
        <f ca="1">IF(T_Prestamos[[#This Row],[Situación]]="Cancelados",T_Prestamos[[#This Row],[Fecha cancelación]],TODAY())-T_Prestamos[[#This Row],[firma préstamo]]</f>
        <v>2572</v>
      </c>
      <c r="R30" s="31">
        <f ca="1">IF(T_Prestamos[[#This Row],[Situación]]="Cancelada","",DATEDIF(T_Prestamos[[#This Row],[firma préstamo]],TODAY(),"m"))</f>
        <v>84</v>
      </c>
      <c r="S30" s="25">
        <f ca="1">IF(T_Prestamos[[#This Row],[Situación]]="Cancelados",0,IF(T_Prestamos[[#This Row],[Tipo préstamo]]="Americano",T_Prestamos[[#This Row],[Importe]],T_Prestamos[[#This Row],[Importe]]+CUMPRINC(G30/12,E30*12,F30,1,R30,0)))</f>
        <v>13422.260463477714</v>
      </c>
      <c r="T30" s="25">
        <f ca="1">IF(T_Prestamos[[#This Row],[Situación]]="Cancelados",0,IF(T_Prestamos[[#This Row],[Tipo préstamo]]="Americano",T_Prestamos[[#This Row],[Pendiente]]*T_Prestamos[[#This Row],[% interés ordinario]],-CUMIPMT(G30/12,E30*12,F30,R30,R30+11,0)))</f>
        <v>1630.1271007632868</v>
      </c>
      <c r="U30" s="33">
        <v>0</v>
      </c>
      <c r="V30" s="34">
        <f>T_Prestamos[[#This Row],[% apertura]]*T_Prestamos[[#This Row],[Importe]]</f>
        <v>0</v>
      </c>
      <c r="W30" s="28"/>
      <c r="X30" s="28" t="s">
        <v>81</v>
      </c>
      <c r="Y30" s="41">
        <f ca="1">IF(T_Prestamos[[#This Row],[Situación]]="Activos",IF(T_Prestamos[[#This Row],[Tipo préstamo]]="Francés",DATEDIF(T_Prestamos[[#This Row],[firma préstamo]],DATE(YEAR(TODAY()),1,1),"m"),0),0)</f>
        <v>82</v>
      </c>
      <c r="Z30" s="58">
        <f ca="1"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1651.2982427871505</v>
      </c>
      <c r="AA30" s="41">
        <f ca="1">IF(T_Prestamos[[#This Row],[firma préstamo]]&gt;DATE(YEAR(TODAY())-1,MONTH(TODAY()),DAY(TODAY())),T_Prestamos[[#This Row],[Importe]]*T_Prestamos[[#This Row],[% apertura]],0)</f>
        <v>0</v>
      </c>
    </row>
    <row r="31" spans="2:30" x14ac:dyDescent="0.2">
      <c r="B31" s="19">
        <v>2027</v>
      </c>
      <c r="C31" s="19" t="s">
        <v>82</v>
      </c>
      <c r="D31" s="20">
        <v>43529</v>
      </c>
      <c r="E31" s="19">
        <v>15</v>
      </c>
      <c r="F31" s="21">
        <v>27500</v>
      </c>
      <c r="G31" s="22">
        <v>0.125</v>
      </c>
      <c r="H31" s="22">
        <v>0.14499999999999999</v>
      </c>
      <c r="I31" s="21"/>
      <c r="J31" s="23" t="str">
        <f>IF(T_Prestamos[[#This Row],[Garantía]]="","",T_Prestamos[[#This Row],[Pendiente]]/T_Prestamos[[#This Row],[Garantía]])</f>
        <v/>
      </c>
      <c r="K31" s="19" t="s">
        <v>44</v>
      </c>
      <c r="L31" s="19" t="s">
        <v>45</v>
      </c>
      <c r="M31" s="19" t="s">
        <v>46</v>
      </c>
      <c r="N31" s="19" t="s">
        <v>47</v>
      </c>
      <c r="O31" s="20">
        <v>43799</v>
      </c>
      <c r="P31" s="20"/>
      <c r="Q31" s="21">
        <f ca="1">IF(T_Prestamos[[#This Row],[Situación]]="Cancelados",T_Prestamos[[#This Row],[Fecha cancelación]],TODAY())-T_Prestamos[[#This Row],[firma préstamo]]</f>
        <v>270</v>
      </c>
      <c r="R31" s="24">
        <f ca="1">IF(T_Prestamos[[#This Row],[Situación]]="Cancelada","",DATEDIF(T_Prestamos[[#This Row],[firma préstamo]],TODAY(),"m"))</f>
        <v>84</v>
      </c>
      <c r="S31" s="25">
        <f>IF(T_Prestamos[[#This Row],[Situación]]="Cancelados",0,IF(T_Prestamos[[#This Row],[Tipo préstamo]]="Americano",T_Prestamos[[#This Row],[Importe]],T_Prestamos[[#This Row],[Importe]]+CUMPRINC(G31/12,E31*12,F31,1,R31,0)))</f>
        <v>0</v>
      </c>
      <c r="T31" s="25">
        <f>IF(T_Prestamos[[#This Row],[Situación]]="Cancelados",0,IF(T_Prestamos[[#This Row],[Tipo préstamo]]="Americano",T_Prestamos[[#This Row],[Pendiente]]*T_Prestamos[[#This Row],[% interés ordinario]],-CUMIPMT(G31/12,E31*12,F31,R31,R31+11,0)))</f>
        <v>0</v>
      </c>
      <c r="U31" s="26">
        <v>0</v>
      </c>
      <c r="V31" s="27">
        <f>T_Prestamos[[#This Row],[% apertura]]*T_Prestamos[[#This Row],[Importe]]</f>
        <v>0</v>
      </c>
      <c r="W31" s="28"/>
      <c r="X31" s="29"/>
      <c r="Y31" s="27">
        <f ca="1">IF(T_Prestamos[[#This Row],[Situación]]="Activos",IF(T_Prestamos[[#This Row],[Tipo préstamo]]="Francés",DATEDIF(T_Prestamos[[#This Row],[firma préstamo]],DATE(YEAR(TODAY()),1,1),"m"),0),0)</f>
        <v>0</v>
      </c>
      <c r="Z31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31" s="41">
        <f ca="1">IF(T_Prestamos[[#This Row],[firma préstamo]]&gt;DATE(YEAR(TODAY())-1,MONTH(TODAY()),DAY(TODAY())),T_Prestamos[[#This Row],[Importe]]*T_Prestamos[[#This Row],[% apertura]],0)</f>
        <v>0</v>
      </c>
    </row>
    <row r="32" spans="2:30" x14ac:dyDescent="0.2">
      <c r="B32" s="28">
        <v>2028</v>
      </c>
      <c r="C32" s="28" t="s">
        <v>83</v>
      </c>
      <c r="D32" s="30">
        <v>43543</v>
      </c>
      <c r="E32" s="28">
        <v>15</v>
      </c>
      <c r="F32" s="31">
        <v>22500</v>
      </c>
      <c r="G32" s="32">
        <v>0.125</v>
      </c>
      <c r="H32" s="32">
        <v>0.14499999999999999</v>
      </c>
      <c r="I32" s="31">
        <f>167565/40500*22500</f>
        <v>93091.666666666657</v>
      </c>
      <c r="J32" s="23">
        <f ca="1">IF(T_Prestamos[[#This Row],[Garantía]]="","",T_Prestamos[[#This Row],[Pendiente]]/T_Prestamos[[#This Row],[Garantía]])</f>
        <v>0.18131931068931431</v>
      </c>
      <c r="K32" s="32" t="s">
        <v>44</v>
      </c>
      <c r="L32" s="28" t="s">
        <v>45</v>
      </c>
      <c r="M32" s="28" t="s">
        <v>46</v>
      </c>
      <c r="N32" s="28" t="s">
        <v>51</v>
      </c>
      <c r="O32" s="30"/>
      <c r="P32" s="30"/>
      <c r="Q32" s="31">
        <f ca="1">IF(T_Prestamos[[#This Row],[Situación]]="Cancelados",T_Prestamos[[#This Row],[Fecha cancelación]],TODAY())-T_Prestamos[[#This Row],[firma préstamo]]</f>
        <v>2553</v>
      </c>
      <c r="R32" s="31">
        <f ca="1">IF(T_Prestamos[[#This Row],[Situación]]="Cancelada","",DATEDIF(T_Prestamos[[#This Row],[firma préstamo]],TODAY(),"m"))</f>
        <v>83</v>
      </c>
      <c r="S32" s="25">
        <f ca="1">IF(T_Prestamos[[#This Row],[Situación]]="Cancelados",0,IF(T_Prestamos[[#This Row],[Tipo préstamo]]="Americano",T_Prestamos[[#This Row],[Importe]],T_Prestamos[[#This Row],[Importe]]+CUMPRINC(G32/12,E32*12,F32,1,R32,0)))</f>
        <v>16879.316830919415</v>
      </c>
      <c r="T32" s="25">
        <f ca="1">IF(T_Prestamos[[#This Row],[Situación]]="Cancelados",0,IF(T_Prestamos[[#This Row],[Tipo préstamo]]="Americano",T_Prestamos[[#This Row],[Pendiente]]*T_Prestamos[[#This Row],[% interés ordinario]],-CUMIPMT(G32/12,E32*12,F32,R32,R32+11,0)))</f>
        <v>2050.9593991167685</v>
      </c>
      <c r="U32" s="33">
        <v>0</v>
      </c>
      <c r="V32" s="34">
        <f>T_Prestamos[[#This Row],[% apertura]]*T_Prestamos[[#This Row],[Importe]]</f>
        <v>0</v>
      </c>
      <c r="W32" s="28"/>
      <c r="X32" s="28" t="s">
        <v>81</v>
      </c>
      <c r="Y32" s="41">
        <f ca="1">IF(T_Prestamos[[#This Row],[Situación]]="Activos",IF(T_Prestamos[[#This Row],[Tipo préstamo]]="Francés",DATEDIF(T_Prestamos[[#This Row],[firma préstamo]],DATE(YEAR(TODAY()),1,1),"m"),0),0)</f>
        <v>81</v>
      </c>
      <c r="Z32" s="58">
        <f ca="1"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2077.1505026514451</v>
      </c>
      <c r="AA32" s="41">
        <f ca="1">IF(T_Prestamos[[#This Row],[firma préstamo]]&gt;DATE(YEAR(TODAY())-1,MONTH(TODAY()),DAY(TODAY())),T_Prestamos[[#This Row],[Importe]]*T_Prestamos[[#This Row],[% apertura]],0)</f>
        <v>0</v>
      </c>
    </row>
    <row r="33" spans="2:27" x14ac:dyDescent="0.2">
      <c r="B33" s="19">
        <v>2029</v>
      </c>
      <c r="C33" s="19" t="s">
        <v>84</v>
      </c>
      <c r="D33" s="20">
        <v>43565</v>
      </c>
      <c r="E33" s="19">
        <v>6</v>
      </c>
      <c r="F33" s="21">
        <v>24600</v>
      </c>
      <c r="G33" s="22">
        <v>0.125</v>
      </c>
      <c r="H33" s="22">
        <v>0.14499999999999999</v>
      </c>
      <c r="I33" s="21"/>
      <c r="J33" s="23" t="str">
        <f>IF(T_Prestamos[[#This Row],[Garantía]]="","",T_Prestamos[[#This Row],[Pendiente]]/T_Prestamos[[#This Row],[Garantía]])</f>
        <v/>
      </c>
      <c r="K33" s="19" t="s">
        <v>44</v>
      </c>
      <c r="L33" s="19" t="s">
        <v>45</v>
      </c>
      <c r="M33" s="19" t="s">
        <v>46</v>
      </c>
      <c r="N33" s="19" t="s">
        <v>47</v>
      </c>
      <c r="O33" s="20">
        <v>43719</v>
      </c>
      <c r="P33" s="20"/>
      <c r="Q33" s="21">
        <f ca="1">IF(T_Prestamos[[#This Row],[Situación]]="Cancelados",T_Prestamos[[#This Row],[Fecha cancelación]],TODAY())-T_Prestamos[[#This Row],[firma préstamo]]</f>
        <v>154</v>
      </c>
      <c r="R33" s="24">
        <f ca="1">IF(T_Prestamos[[#This Row],[Situación]]="Cancelada","",DATEDIF(T_Prestamos[[#This Row],[firma préstamo]],TODAY(),"m"))</f>
        <v>83</v>
      </c>
      <c r="S33" s="25">
        <f>IF(T_Prestamos[[#This Row],[Situación]]="Cancelados",0,IF(T_Prestamos[[#This Row],[Tipo préstamo]]="Americano",T_Prestamos[[#This Row],[Importe]],T_Prestamos[[#This Row],[Importe]]+CUMPRINC(G33/12,E33*12,F33,1,R33,0)))</f>
        <v>0</v>
      </c>
      <c r="T33" s="25">
        <f>IF(T_Prestamos[[#This Row],[Situación]]="Cancelados",0,IF(T_Prestamos[[#This Row],[Tipo préstamo]]="Americano",T_Prestamos[[#This Row],[Pendiente]]*T_Prestamos[[#This Row],[% interés ordinario]],-CUMIPMT(G33/12,E33*12,F33,R33,R33+11,0)))</f>
        <v>0</v>
      </c>
      <c r="U33" s="26">
        <v>0</v>
      </c>
      <c r="V33" s="27">
        <f>T_Prestamos[[#This Row],[% apertura]]*T_Prestamos[[#This Row],[Importe]]</f>
        <v>0</v>
      </c>
      <c r="W33" s="28"/>
      <c r="X33" s="29"/>
      <c r="Y33" s="27">
        <f ca="1">IF(T_Prestamos[[#This Row],[Situación]]="Activos",IF(T_Prestamos[[#This Row],[Tipo préstamo]]="Francés",DATEDIF(T_Prestamos[[#This Row],[firma préstamo]],DATE(YEAR(TODAY()),1,1),"m"),0),0)</f>
        <v>0</v>
      </c>
      <c r="Z33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33" s="41">
        <f ca="1">IF(T_Prestamos[[#This Row],[firma préstamo]]&gt;DATE(YEAR(TODAY())-1,MONTH(TODAY()),DAY(TODAY())),T_Prestamos[[#This Row],[Importe]]*T_Prestamos[[#This Row],[% apertura]],0)</f>
        <v>0</v>
      </c>
    </row>
    <row r="34" spans="2:27" x14ac:dyDescent="0.2">
      <c r="B34" s="19">
        <v>2030</v>
      </c>
      <c r="C34" s="19" t="s">
        <v>85</v>
      </c>
      <c r="D34" s="20">
        <v>43609</v>
      </c>
      <c r="E34" s="19">
        <v>15</v>
      </c>
      <c r="F34" s="21">
        <v>14700</v>
      </c>
      <c r="G34" s="22">
        <v>0.125</v>
      </c>
      <c r="H34" s="22">
        <v>0.155</v>
      </c>
      <c r="I34" s="21"/>
      <c r="J34" s="23" t="str">
        <f>IF(T_Prestamos[[#This Row],[Garantía]]="","",T_Prestamos[[#This Row],[Pendiente]]/T_Prestamos[[#This Row],[Garantía]])</f>
        <v/>
      </c>
      <c r="K34" s="19" t="s">
        <v>44</v>
      </c>
      <c r="L34" s="19" t="s">
        <v>45</v>
      </c>
      <c r="M34" s="19" t="s">
        <v>46</v>
      </c>
      <c r="N34" s="19" t="s">
        <v>47</v>
      </c>
      <c r="O34" s="20">
        <v>43972</v>
      </c>
      <c r="P34" s="20"/>
      <c r="Q34" s="21">
        <f ca="1">IF(T_Prestamos[[#This Row],[Situación]]="Cancelados",T_Prestamos[[#This Row],[Fecha cancelación]],TODAY())-T_Prestamos[[#This Row],[firma préstamo]]</f>
        <v>363</v>
      </c>
      <c r="R34" s="24">
        <f ca="1">IF(T_Prestamos[[#This Row],[Situación]]="Cancelada","",DATEDIF(T_Prestamos[[#This Row],[firma préstamo]],TODAY(),"m"))</f>
        <v>81</v>
      </c>
      <c r="S34" s="25">
        <f>IF(T_Prestamos[[#This Row],[Situación]]="Cancelados",0,IF(T_Prestamos[[#This Row],[Tipo préstamo]]="Americano",T_Prestamos[[#This Row],[Importe]],T_Prestamos[[#This Row],[Importe]]+CUMPRINC(G34/12,E34*12,F34,1,R34,0)))</f>
        <v>0</v>
      </c>
      <c r="T34" s="25">
        <f>IF(T_Prestamos[[#This Row],[Situación]]="Cancelados",0,IF(T_Prestamos[[#This Row],[Tipo préstamo]]="Americano",T_Prestamos[[#This Row],[Pendiente]]*T_Prestamos[[#This Row],[% interés ordinario]],-CUMIPMT(G34/12,E34*12,F34,R34,R34+11,0)))</f>
        <v>0</v>
      </c>
      <c r="U34" s="26">
        <v>0</v>
      </c>
      <c r="V34" s="27">
        <f>T_Prestamos[[#This Row],[% apertura]]*T_Prestamos[[#This Row],[Importe]]</f>
        <v>0</v>
      </c>
      <c r="W34" s="28"/>
      <c r="X34" s="29"/>
      <c r="Y34" s="27">
        <f ca="1">IF(T_Prestamos[[#This Row],[Situación]]="Activos",IF(T_Prestamos[[#This Row],[Tipo préstamo]]="Francés",DATEDIF(T_Prestamos[[#This Row],[firma préstamo]],DATE(YEAR(TODAY()),1,1),"m"),0),0)</f>
        <v>0</v>
      </c>
      <c r="Z34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34" s="41">
        <f ca="1">IF(T_Prestamos[[#This Row],[firma préstamo]]&gt;DATE(YEAR(TODAY())-1,MONTH(TODAY()),DAY(TODAY())),T_Prestamos[[#This Row],[Importe]]*T_Prestamos[[#This Row],[% apertura]],0)</f>
        <v>0</v>
      </c>
    </row>
    <row r="35" spans="2:27" x14ac:dyDescent="0.2">
      <c r="B35" s="19">
        <v>2031</v>
      </c>
      <c r="C35" s="19" t="s">
        <v>86</v>
      </c>
      <c r="D35" s="20">
        <v>43617</v>
      </c>
      <c r="E35" s="19">
        <v>20</v>
      </c>
      <c r="F35" s="21">
        <v>33000</v>
      </c>
      <c r="G35" s="22">
        <v>0.125</v>
      </c>
      <c r="H35" s="22">
        <v>0.14499999999999999</v>
      </c>
      <c r="I35" s="21"/>
      <c r="J35" s="23" t="str">
        <f>IF(T_Prestamos[[#This Row],[Garantía]]="","",T_Prestamos[[#This Row],[Pendiente]]/T_Prestamos[[#This Row],[Garantía]])</f>
        <v/>
      </c>
      <c r="K35" s="19" t="s">
        <v>44</v>
      </c>
      <c r="L35" s="19" t="s">
        <v>45</v>
      </c>
      <c r="M35" s="19" t="s">
        <v>46</v>
      </c>
      <c r="N35" s="19" t="s">
        <v>47</v>
      </c>
      <c r="O35" s="20">
        <v>44320</v>
      </c>
      <c r="P35" s="20"/>
      <c r="Q35" s="21">
        <f ca="1">IF(T_Prestamos[[#This Row],[Situación]]="Cancelados",T_Prestamos[[#This Row],[Fecha cancelación]],TODAY())-T_Prestamos[[#This Row],[firma préstamo]]</f>
        <v>703</v>
      </c>
      <c r="R35" s="24">
        <f ca="1">IF(T_Prestamos[[#This Row],[Situación]]="Cancelada","",DATEDIF(T_Prestamos[[#This Row],[firma préstamo]],TODAY(),"m"))</f>
        <v>81</v>
      </c>
      <c r="S35" s="25">
        <f>IF(T_Prestamos[[#This Row],[Situación]]="Cancelados",0,IF(T_Prestamos[[#This Row],[Tipo préstamo]]="Americano",T_Prestamos[[#This Row],[Importe]],T_Prestamos[[#This Row],[Importe]]+CUMPRINC(G35/12,E35*12,F35,1,R35,0)))</f>
        <v>0</v>
      </c>
      <c r="T35" s="25">
        <f>IF(T_Prestamos[[#This Row],[Situación]]="Cancelados",0,IF(T_Prestamos[[#This Row],[Tipo préstamo]]="Americano",T_Prestamos[[#This Row],[Pendiente]]*T_Prestamos[[#This Row],[% interés ordinario]],-CUMIPMT(G35/12,E35*12,F35,R35,R35+11,0)))</f>
        <v>0</v>
      </c>
      <c r="U35" s="26">
        <v>0</v>
      </c>
      <c r="V35" s="27">
        <f>T_Prestamos[[#This Row],[% apertura]]*T_Prestamos[[#This Row],[Importe]]</f>
        <v>0</v>
      </c>
      <c r="W35" s="28"/>
      <c r="X35" s="29"/>
      <c r="Y35" s="27">
        <f ca="1">IF(T_Prestamos[[#This Row],[Situación]]="Activos",IF(T_Prestamos[[#This Row],[Tipo préstamo]]="Francés",DATEDIF(T_Prestamos[[#This Row],[firma préstamo]],DATE(YEAR(TODAY()),1,1),"m"),0),0)</f>
        <v>0</v>
      </c>
      <c r="Z35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35" s="41">
        <f ca="1">IF(T_Prestamos[[#This Row],[firma préstamo]]&gt;DATE(YEAR(TODAY())-1,MONTH(TODAY()),DAY(TODAY())),T_Prestamos[[#This Row],[Importe]]*T_Prestamos[[#This Row],[% apertura]],0)</f>
        <v>0</v>
      </c>
    </row>
    <row r="36" spans="2:27" s="1" customFormat="1" x14ac:dyDescent="0.2">
      <c r="B36" s="19">
        <v>2032</v>
      </c>
      <c r="C36" s="19" t="s">
        <v>87</v>
      </c>
      <c r="D36" s="20">
        <v>43622</v>
      </c>
      <c r="E36" s="19">
        <v>15</v>
      </c>
      <c r="F36" s="21">
        <v>19000</v>
      </c>
      <c r="G36" s="22">
        <v>0.125</v>
      </c>
      <c r="H36" s="22">
        <v>0.14749999999999999</v>
      </c>
      <c r="I36" s="21"/>
      <c r="J36" s="23" t="str">
        <f>IF(T_Prestamos[[#This Row],[Garantía]]="","",T_Prestamos[[#This Row],[Pendiente]]/T_Prestamos[[#This Row],[Garantía]])</f>
        <v/>
      </c>
      <c r="K36" s="19" t="s">
        <v>44</v>
      </c>
      <c r="L36" s="19" t="s">
        <v>45</v>
      </c>
      <c r="M36" s="19" t="s">
        <v>46</v>
      </c>
      <c r="N36" s="19" t="s">
        <v>47</v>
      </c>
      <c r="O36" s="20">
        <v>44060</v>
      </c>
      <c r="P36" s="20"/>
      <c r="Q36" s="21">
        <f ca="1">IF(T_Prestamos[[#This Row],[Situación]]="Cancelados",T_Prestamos[[#This Row],[Fecha cancelación]],TODAY())-T_Prestamos[[#This Row],[firma préstamo]]</f>
        <v>438</v>
      </c>
      <c r="R36" s="24">
        <f ca="1">IF(T_Prestamos[[#This Row],[Situación]]="Cancelada","",DATEDIF(T_Prestamos[[#This Row],[firma préstamo]],TODAY(),"m"))</f>
        <v>81</v>
      </c>
      <c r="S36" s="25">
        <f>IF(T_Prestamos[[#This Row],[Situación]]="Cancelados",0,IF(T_Prestamos[[#This Row],[Tipo préstamo]]="Americano",T_Prestamos[[#This Row],[Importe]],T_Prestamos[[#This Row],[Importe]]+CUMPRINC(G36/12,E36*12,F36,1,R36,0)))</f>
        <v>0</v>
      </c>
      <c r="T36" s="25">
        <f>IF(T_Prestamos[[#This Row],[Situación]]="Cancelados",0,IF(T_Prestamos[[#This Row],[Tipo préstamo]]="Americano",T_Prestamos[[#This Row],[Pendiente]]*T_Prestamos[[#This Row],[% interés ordinario]],-CUMIPMT(G36/12,E36*12,F36,R36,R36+11,0)))</f>
        <v>0</v>
      </c>
      <c r="U36" s="26">
        <v>0</v>
      </c>
      <c r="V36" s="27">
        <f>T_Prestamos[[#This Row],[% apertura]]*T_Prestamos[[#This Row],[Importe]]</f>
        <v>0</v>
      </c>
      <c r="W36" s="28"/>
      <c r="X36" s="29"/>
      <c r="Y36" s="27">
        <f ca="1">IF(T_Prestamos[[#This Row],[Situación]]="Activos",IF(T_Prestamos[[#This Row],[Tipo préstamo]]="Francés",DATEDIF(T_Prestamos[[#This Row],[firma préstamo]],DATE(YEAR(TODAY()),1,1),"m"),0),0)</f>
        <v>0</v>
      </c>
      <c r="Z36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36" s="41">
        <f ca="1">IF(T_Prestamos[[#This Row],[firma préstamo]]&gt;DATE(YEAR(TODAY())-1,MONTH(TODAY()),DAY(TODAY())),T_Prestamos[[#This Row],[Importe]]*T_Prestamos[[#This Row],[% apertura]],0)</f>
        <v>0</v>
      </c>
    </row>
    <row r="37" spans="2:27" x14ac:dyDescent="0.2">
      <c r="B37" s="35">
        <v>2033</v>
      </c>
      <c r="C37" s="35" t="s">
        <v>88</v>
      </c>
      <c r="D37" s="36">
        <v>43621</v>
      </c>
      <c r="E37" s="35">
        <v>15</v>
      </c>
      <c r="F37" s="37">
        <v>14800</v>
      </c>
      <c r="G37" s="38">
        <v>0.125</v>
      </c>
      <c r="H37" s="38">
        <v>0.14499999999999999</v>
      </c>
      <c r="I37" s="37">
        <v>126608</v>
      </c>
      <c r="J37" s="23">
        <f ca="1">IF(T_Prestamos[[#This Row],[Garantía]]="","",T_Prestamos[[#This Row],[Pendiente]]/T_Prestamos[[#This Row],[Garantía]])</f>
        <v>8.8732933848889653E-2</v>
      </c>
      <c r="K37" s="38" t="s">
        <v>44</v>
      </c>
      <c r="L37" s="35" t="s">
        <v>45</v>
      </c>
      <c r="M37" s="35" t="s">
        <v>46</v>
      </c>
      <c r="N37" s="35" t="s">
        <v>72</v>
      </c>
      <c r="O37" s="36"/>
      <c r="P37" s="36"/>
      <c r="Q37" s="37">
        <f ca="1">IF(T_Prestamos[[#This Row],[Situación]]="Cancelados",T_Prestamos[[#This Row],[Fecha cancelación]],TODAY())-T_Prestamos[[#This Row],[firma préstamo]]</f>
        <v>2475</v>
      </c>
      <c r="R37" s="37">
        <f ca="1">IF(T_Prestamos[[#This Row],[Situación]]="Cancelada","",DATEDIF(T_Prestamos[[#This Row],[firma préstamo]],TODAY(),"m"))</f>
        <v>81</v>
      </c>
      <c r="S37" s="25">
        <f ca="1">IF(T_Prestamos[[#This Row],[Situación]]="Cancelados",0,IF(T_Prestamos[[#This Row],[Tipo préstamo]]="Americano",T_Prestamos[[#This Row],[Importe]],T_Prestamos[[#This Row],[Importe]]+CUMPRINC(G37/12,E37*12,F37,1,R37,0)))</f>
        <v>11234.299288740222</v>
      </c>
      <c r="T37" s="25">
        <f ca="1">IF(T_Prestamos[[#This Row],[Situación]]="Cancelados",0,IF(T_Prestamos[[#This Row],[Tipo préstamo]]="Americano",T_Prestamos[[#This Row],[Pendiente]]*T_Prestamos[[#This Row],[% interés ordinario]],-CUMIPMT(G37/12,E37*12,F37,R37,R37+11,0)))</f>
        <v>1366.3034417440622</v>
      </c>
      <c r="U37" s="39">
        <v>0</v>
      </c>
      <c r="V37" s="40">
        <f>T_Prestamos[[#This Row],[% apertura]]*T_Prestamos[[#This Row],[Importe]]</f>
        <v>0</v>
      </c>
      <c r="W37" s="35" t="s">
        <v>73</v>
      </c>
      <c r="X37" s="35"/>
      <c r="Y37" s="59">
        <f ca="1">IF(T_Prestamos[[#This Row],[Situación]]="Activos",IF(T_Prestamos[[#This Row],[Tipo préstamo]]="Francés",DATEDIF(T_Prestamos[[#This Row],[firma préstamo]],DATE(YEAR(TODAY()),1,1),"m"),0),0)</f>
        <v>0</v>
      </c>
      <c r="Z37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37" s="41">
        <f ca="1">IF(T_Prestamos[[#This Row],[firma préstamo]]&gt;DATE(YEAR(TODAY())-1,MONTH(TODAY()),DAY(TODAY())),T_Prestamos[[#This Row],[Importe]]*T_Prestamos[[#This Row],[% apertura]],0)</f>
        <v>0</v>
      </c>
    </row>
    <row r="38" spans="2:27" x14ac:dyDescent="0.2">
      <c r="B38" s="28">
        <v>2034</v>
      </c>
      <c r="C38" s="28" t="s">
        <v>89</v>
      </c>
      <c r="D38" s="30">
        <v>43628</v>
      </c>
      <c r="E38" s="28">
        <v>10</v>
      </c>
      <c r="F38" s="31">
        <v>10000</v>
      </c>
      <c r="G38" s="32">
        <v>0.125</v>
      </c>
      <c r="H38" s="32">
        <f>T_Prestamos[[#This Row],[% interés ordinario]]+3%</f>
        <v>0.155</v>
      </c>
      <c r="I38" s="31">
        <v>171312</v>
      </c>
      <c r="J38" s="23">
        <f ca="1">IF(T_Prestamos[[#This Row],[Garantía]]="","",T_Prestamos[[#This Row],[Pendiente]]/T_Prestamos[[#This Row],[Garantía]])</f>
        <v>2.7270109592942168E-2</v>
      </c>
      <c r="K38" s="32" t="s">
        <v>44</v>
      </c>
      <c r="L38" s="28" t="s">
        <v>45</v>
      </c>
      <c r="M38" s="28" t="s">
        <v>46</v>
      </c>
      <c r="N38" s="28" t="s">
        <v>51</v>
      </c>
      <c r="O38" s="30"/>
      <c r="P38" s="30"/>
      <c r="Q38" s="31">
        <f ca="1">IF(T_Prestamos[[#This Row],[Situación]]="Cancelados",T_Prestamos[[#This Row],[Fecha cancelación]],TODAY())-T_Prestamos[[#This Row],[firma préstamo]]</f>
        <v>2468</v>
      </c>
      <c r="R38" s="31">
        <f ca="1">IF(T_Prestamos[[#This Row],[Situación]]="Cancelada","",DATEDIF(T_Prestamos[[#This Row],[firma préstamo]],TODAY(),"m"))</f>
        <v>81</v>
      </c>
      <c r="S38" s="25">
        <f ca="1">IF(T_Prestamos[[#This Row],[Situación]]="Cancelados",0,IF(T_Prestamos[[#This Row],[Tipo préstamo]]="Americano",T_Prestamos[[#This Row],[Importe]],T_Prestamos[[#This Row],[Importe]]+CUMPRINC(G38/12,E38*12,F38,1,R38,0)))</f>
        <v>4671.6970145861087</v>
      </c>
      <c r="T38" s="25">
        <f ca="1">IF(T_Prestamos[[#This Row],[Situación]]="Cancelados",0,IF(T_Prestamos[[#This Row],[Tipo préstamo]]="Americano",T_Prestamos[[#This Row],[Pendiente]]*T_Prestamos[[#This Row],[% interés ordinario]],-CUMIPMT(G38/12,E38*12,F38,R38,R38+11,0)))</f>
        <v>527.20186743351996</v>
      </c>
      <c r="U38" s="33">
        <v>0</v>
      </c>
      <c r="V38" s="34">
        <f>T_Prestamos[[#This Row],[% apertura]]*T_Prestamos[[#This Row],[Importe]]</f>
        <v>0</v>
      </c>
      <c r="W38" s="28"/>
      <c r="X38" s="28" t="s">
        <v>90</v>
      </c>
      <c r="Y38" s="41">
        <f ca="1">IF(T_Prestamos[[#This Row],[Situación]]="Activos",IF(T_Prestamos[[#This Row],[Tipo préstamo]]="Francés",DATEDIF(T_Prestamos[[#This Row],[firma préstamo]],DATE(YEAR(TODAY()),1,1),"m"),0),0)</f>
        <v>78</v>
      </c>
      <c r="Z38" s="58">
        <f ca="1"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564.83121958935635</v>
      </c>
      <c r="AA38" s="41">
        <f ca="1">IF(T_Prestamos[[#This Row],[firma préstamo]]&gt;DATE(YEAR(TODAY())-1,MONTH(TODAY()),DAY(TODAY())),T_Prestamos[[#This Row],[Importe]]*T_Prestamos[[#This Row],[% apertura]],0)</f>
        <v>0</v>
      </c>
    </row>
    <row r="39" spans="2:27" x14ac:dyDescent="0.2">
      <c r="B39" s="19">
        <v>2035</v>
      </c>
      <c r="C39" s="19" t="s">
        <v>91</v>
      </c>
      <c r="D39" s="20">
        <v>43629</v>
      </c>
      <c r="E39" s="19">
        <v>5</v>
      </c>
      <c r="F39" s="21">
        <v>13500</v>
      </c>
      <c r="G39" s="22">
        <v>0.125</v>
      </c>
      <c r="H39" s="22">
        <v>0.14749999999999999</v>
      </c>
      <c r="I39" s="21"/>
      <c r="J39" s="23" t="str">
        <f>IF(T_Prestamos[[#This Row],[Garantía]]="","",T_Prestamos[[#This Row],[Pendiente]]/T_Prestamos[[#This Row],[Garantía]])</f>
        <v/>
      </c>
      <c r="K39" s="19" t="s">
        <v>44</v>
      </c>
      <c r="L39" s="19" t="s">
        <v>45</v>
      </c>
      <c r="M39" s="19" t="s">
        <v>46</v>
      </c>
      <c r="N39" s="19" t="s">
        <v>47</v>
      </c>
      <c r="O39" s="20">
        <v>45456</v>
      </c>
      <c r="P39" s="20"/>
      <c r="Q39" s="21">
        <f ca="1">IF(T_Prestamos[[#This Row],[Situación]]="Cancelados",T_Prestamos[[#This Row],[Fecha cancelación]],TODAY())-T_Prestamos[[#This Row],[firma préstamo]]</f>
        <v>1827</v>
      </c>
      <c r="R39" s="24">
        <f ca="1">IF(T_Prestamos[[#This Row],[Situación]]="Cancelada","",DATEDIF(T_Prestamos[[#This Row],[firma préstamo]],TODAY(),"m"))</f>
        <v>81</v>
      </c>
      <c r="S39" s="25">
        <f>IF(T_Prestamos[[#This Row],[Situación]]="Cancelados",0,IF(T_Prestamos[[#This Row],[Tipo préstamo]]="Americano",T_Prestamos[[#This Row],[Importe]],T_Prestamos[[#This Row],[Importe]]+CUMPRINC(G39/12,E39*12,F39,1,R39,0)))</f>
        <v>0</v>
      </c>
      <c r="T39" s="25">
        <f>IF(T_Prestamos[[#This Row],[Situación]]="Cancelados",0,IF(T_Prestamos[[#This Row],[Tipo préstamo]]="Americano",T_Prestamos[[#This Row],[Pendiente]]*T_Prestamos[[#This Row],[% interés ordinario]],-CUMIPMT(G39/12,E39*12,F39,R39,R39+11,0)))</f>
        <v>0</v>
      </c>
      <c r="U39" s="26">
        <v>0</v>
      </c>
      <c r="V39" s="27">
        <f>T_Prestamos[[#This Row],[% apertura]]*T_Prestamos[[#This Row],[Importe]]</f>
        <v>0</v>
      </c>
      <c r="W39" s="28"/>
      <c r="X39" s="29"/>
      <c r="Y39" s="27">
        <f ca="1">IF(T_Prestamos[[#This Row],[Situación]]="Activos",IF(T_Prestamos[[#This Row],[Tipo préstamo]]="Francés",DATEDIF(T_Prestamos[[#This Row],[firma préstamo]],DATE(YEAR(TODAY()),1,1),"m"),0),0)</f>
        <v>0</v>
      </c>
      <c r="Z39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39" s="41">
        <f ca="1">IF(T_Prestamos[[#This Row],[firma préstamo]]&gt;DATE(YEAR(TODAY())-1,MONTH(TODAY()),DAY(TODAY())),T_Prestamos[[#This Row],[Importe]]*T_Prestamos[[#This Row],[% apertura]],0)</f>
        <v>0</v>
      </c>
    </row>
    <row r="40" spans="2:27" x14ac:dyDescent="0.2">
      <c r="B40" s="19">
        <v>2036</v>
      </c>
      <c r="C40" s="19" t="s">
        <v>92</v>
      </c>
      <c r="D40" s="20">
        <v>43777</v>
      </c>
      <c r="E40" s="19">
        <v>6</v>
      </c>
      <c r="F40" s="21">
        <v>16500</v>
      </c>
      <c r="G40" s="22">
        <v>0.125</v>
      </c>
      <c r="H40" s="22">
        <v>0.155</v>
      </c>
      <c r="I40" s="21"/>
      <c r="J40" s="23" t="str">
        <f>IF(T_Prestamos[[#This Row],[Garantía]]="","",T_Prestamos[[#This Row],[Pendiente]]/T_Prestamos[[#This Row],[Garantía]])</f>
        <v/>
      </c>
      <c r="K40" s="19" t="s">
        <v>44</v>
      </c>
      <c r="L40" s="19" t="s">
        <v>45</v>
      </c>
      <c r="M40" s="19" t="s">
        <v>46</v>
      </c>
      <c r="N40" s="19" t="s">
        <v>47</v>
      </c>
      <c r="O40" s="20">
        <v>44581</v>
      </c>
      <c r="P40" s="20"/>
      <c r="Q40" s="21">
        <f ca="1">IF(T_Prestamos[[#This Row],[Situación]]="Cancelados",T_Prestamos[[#This Row],[Fecha cancelación]],TODAY())-T_Prestamos[[#This Row],[firma préstamo]]</f>
        <v>804</v>
      </c>
      <c r="R40" s="24">
        <f ca="1">IF(T_Prestamos[[#This Row],[Situación]]="Cancelada","",DATEDIF(T_Prestamos[[#This Row],[firma préstamo]],TODAY(),"m"))</f>
        <v>76</v>
      </c>
      <c r="S40" s="25">
        <f>IF(T_Prestamos[[#This Row],[Situación]]="Cancelados",0,IF(T_Prestamos[[#This Row],[Tipo préstamo]]="Americano",T_Prestamos[[#This Row],[Importe]],T_Prestamos[[#This Row],[Importe]]+CUMPRINC(G40/12,E40*12,F40,1,R40,0)))</f>
        <v>0</v>
      </c>
      <c r="T40" s="25">
        <f>IF(T_Prestamos[[#This Row],[Situación]]="Cancelados",0,IF(T_Prestamos[[#This Row],[Tipo préstamo]]="Americano",T_Prestamos[[#This Row],[Pendiente]]*T_Prestamos[[#This Row],[% interés ordinario]],-CUMIPMT(G40/12,E40*12,F40,R40,R40+11,0)))</f>
        <v>0</v>
      </c>
      <c r="U40" s="26">
        <v>0</v>
      </c>
      <c r="V40" s="27">
        <f>T_Prestamos[[#This Row],[% apertura]]*T_Prestamos[[#This Row],[Importe]]</f>
        <v>0</v>
      </c>
      <c r="W40" s="28"/>
      <c r="X40" s="29"/>
      <c r="Y40" s="27">
        <f ca="1">IF(T_Prestamos[[#This Row],[Situación]]="Activos",IF(T_Prestamos[[#This Row],[Tipo préstamo]]="Francés",DATEDIF(T_Prestamos[[#This Row],[firma préstamo]],DATE(YEAR(TODAY()),1,1),"m"),0),0)</f>
        <v>0</v>
      </c>
      <c r="Z40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40" s="41">
        <f ca="1">IF(T_Prestamos[[#This Row],[firma préstamo]]&gt;DATE(YEAR(TODAY())-1,MONTH(TODAY()),DAY(TODAY())),T_Prestamos[[#This Row],[Importe]]*T_Prestamos[[#This Row],[% apertura]],0)</f>
        <v>0</v>
      </c>
    </row>
    <row r="41" spans="2:27" x14ac:dyDescent="0.2">
      <c r="B41" s="19">
        <v>2037</v>
      </c>
      <c r="C41" s="19" t="s">
        <v>93</v>
      </c>
      <c r="D41" s="20">
        <v>43784</v>
      </c>
      <c r="E41" s="19">
        <v>15</v>
      </c>
      <c r="F41" s="21">
        <v>40000</v>
      </c>
      <c r="G41" s="22">
        <v>0.125</v>
      </c>
      <c r="H41" s="22">
        <v>0.155</v>
      </c>
      <c r="I41" s="21"/>
      <c r="J41" s="23" t="str">
        <f>IF(T_Prestamos[[#This Row],[Garantía]]="","",T_Prestamos[[#This Row],[Pendiente]]/T_Prestamos[[#This Row],[Garantía]])</f>
        <v/>
      </c>
      <c r="K41" s="19" t="s">
        <v>44</v>
      </c>
      <c r="L41" s="19" t="s">
        <v>45</v>
      </c>
      <c r="M41" s="19" t="s">
        <v>46</v>
      </c>
      <c r="N41" s="19" t="s">
        <v>47</v>
      </c>
      <c r="O41" s="20">
        <v>45225</v>
      </c>
      <c r="P41" s="20"/>
      <c r="Q41" s="21">
        <f ca="1">IF(T_Prestamos[[#This Row],[Situación]]="Cancelados",T_Prestamos[[#This Row],[Fecha cancelación]],TODAY())-T_Prestamos[[#This Row],[firma préstamo]]</f>
        <v>1441</v>
      </c>
      <c r="R41" s="24">
        <f ca="1">IF(T_Prestamos[[#This Row],[Situación]]="Cancelada","",DATEDIF(T_Prestamos[[#This Row],[firma préstamo]],TODAY(),"m"))</f>
        <v>76</v>
      </c>
      <c r="S41" s="25">
        <f>IF(T_Prestamos[[#This Row],[Situación]]="Cancelados",0,IF(T_Prestamos[[#This Row],[Tipo préstamo]]="Americano",T_Prestamos[[#This Row],[Importe]],T_Prestamos[[#This Row],[Importe]]+CUMPRINC(G41/12,E41*12,F41,1,R41,0)))</f>
        <v>0</v>
      </c>
      <c r="T41" s="25">
        <f>IF(T_Prestamos[[#This Row],[Situación]]="Cancelados",0,IF(T_Prestamos[[#This Row],[Tipo préstamo]]="Americano",T_Prestamos[[#This Row],[Pendiente]]*T_Prestamos[[#This Row],[% interés ordinario]],-CUMIPMT(G41/12,E41*12,F41,R41,R41+11,0)))</f>
        <v>0</v>
      </c>
      <c r="U41" s="26">
        <v>0</v>
      </c>
      <c r="V41" s="27">
        <f>T_Prestamos[[#This Row],[% apertura]]*T_Prestamos[[#This Row],[Importe]]</f>
        <v>0</v>
      </c>
      <c r="W41" s="28"/>
      <c r="X41" s="29"/>
      <c r="Y41" s="27">
        <f ca="1">IF(T_Prestamos[[#This Row],[Situación]]="Activos",IF(T_Prestamos[[#This Row],[Tipo préstamo]]="Francés",DATEDIF(T_Prestamos[[#This Row],[firma préstamo]],DATE(YEAR(TODAY()),1,1),"m"),0),0)</f>
        <v>0</v>
      </c>
      <c r="Z41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41" s="41">
        <f ca="1">IF(T_Prestamos[[#This Row],[firma préstamo]]&gt;DATE(YEAR(TODAY())-1,MONTH(TODAY()),DAY(TODAY())),T_Prestamos[[#This Row],[Importe]]*T_Prestamos[[#This Row],[% apertura]],0)</f>
        <v>0</v>
      </c>
    </row>
    <row r="42" spans="2:27" x14ac:dyDescent="0.2">
      <c r="B42" s="35">
        <v>2038</v>
      </c>
      <c r="C42" s="35" t="s">
        <v>94</v>
      </c>
      <c r="D42" s="36">
        <v>43798</v>
      </c>
      <c r="E42" s="35">
        <v>1.5</v>
      </c>
      <c r="F42" s="37">
        <v>30000</v>
      </c>
      <c r="G42" s="38">
        <f>12.9%-3%</f>
        <v>9.9000000000000005E-2</v>
      </c>
      <c r="H42" s="38">
        <f>14.9%-3%</f>
        <v>0.11899999999999999</v>
      </c>
      <c r="I42" s="37">
        <v>74117</v>
      </c>
      <c r="J42" s="23">
        <f>IF(T_Prestamos[[#This Row],[Garantía]]="","",T_Prestamos[[#This Row],[Pendiente]]/T_Prestamos[[#This Row],[Garantía]])</f>
        <v>0.40476543842843071</v>
      </c>
      <c r="K42" s="38" t="s">
        <v>95</v>
      </c>
      <c r="L42" s="35" t="s">
        <v>58</v>
      </c>
      <c r="M42" s="35" t="s">
        <v>96</v>
      </c>
      <c r="N42" s="35" t="s">
        <v>72</v>
      </c>
      <c r="O42" s="36"/>
      <c r="P42" s="36"/>
      <c r="Q42" s="37">
        <f ca="1">IF(T_Prestamos[[#This Row],[Situación]]="Cancelados",T_Prestamos[[#This Row],[Fecha cancelación]],TODAY())-T_Prestamos[[#This Row],[firma préstamo]]</f>
        <v>2298</v>
      </c>
      <c r="R42" s="37">
        <f ca="1">IF(T_Prestamos[[#This Row],[Situación]]="Cancelada","",DATEDIF(T_Prestamos[[#This Row],[firma préstamo]],TODAY(),"m"))</f>
        <v>75</v>
      </c>
      <c r="S42" s="25">
        <f>IF(T_Prestamos[[#This Row],[Situación]]="Cancelados",0,IF(T_Prestamos[[#This Row],[Tipo préstamo]]="Americano",T_Prestamos[[#This Row],[Importe]],T_Prestamos[[#This Row],[Importe]]+CUMPRINC(G42/12,E42*12,F42,1,R42,0)))</f>
        <v>30000</v>
      </c>
      <c r="T42" s="25">
        <f>IF(T_Prestamos[[#This Row],[Situación]]="Cancelados",0,IF(T_Prestamos[[#This Row],[Tipo préstamo]]="Americano",T_Prestamos[[#This Row],[Pendiente]]*T_Prestamos[[#This Row],[% interés ordinario]],-CUMIPMT(G42/12,E42*12,F42,R42,R42+11,0)))</f>
        <v>2970</v>
      </c>
      <c r="U42" s="39">
        <v>0</v>
      </c>
      <c r="V42" s="40">
        <f>T_Prestamos[[#This Row],[% apertura]]*T_Prestamos[[#This Row],[Importe]]</f>
        <v>0</v>
      </c>
      <c r="W42" s="35"/>
      <c r="X42" s="35"/>
      <c r="Y42" s="59">
        <f ca="1">IF(T_Prestamos[[#This Row],[Situación]]="Activos",IF(T_Prestamos[[#This Row],[Tipo préstamo]]="Francés",DATEDIF(T_Prestamos[[#This Row],[firma préstamo]],DATE(YEAR(TODAY()),1,1),"m"),0),0)</f>
        <v>0</v>
      </c>
      <c r="Z42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42" s="41">
        <f ca="1">IF(T_Prestamos[[#This Row],[firma préstamo]]&gt;DATE(YEAR(TODAY())-1,MONTH(TODAY()),DAY(TODAY())),T_Prestamos[[#This Row],[Importe]]*T_Prestamos[[#This Row],[% apertura]],0)</f>
        <v>0</v>
      </c>
    </row>
    <row r="43" spans="2:27" s="1" customFormat="1" x14ac:dyDescent="0.2">
      <c r="B43" s="19">
        <v>2040</v>
      </c>
      <c r="C43" s="19" t="s">
        <v>97</v>
      </c>
      <c r="D43" s="20">
        <v>44599</v>
      </c>
      <c r="E43" s="19">
        <v>10</v>
      </c>
      <c r="F43" s="21">
        <v>107425</v>
      </c>
      <c r="G43" s="22">
        <v>0.1095</v>
      </c>
      <c r="H43" s="22">
        <f>T_Prestamos[[#This Row],[% interés ordinario]]+3%</f>
        <v>0.13950000000000001</v>
      </c>
      <c r="I43" s="21"/>
      <c r="J43" s="23" t="str">
        <f>IF(T_Prestamos[[#This Row],[Garantía]]="","",T_Prestamos[[#This Row],[Pendiente]]/T_Prestamos[[#This Row],[Garantía]])</f>
        <v/>
      </c>
      <c r="K43" s="19" t="s">
        <v>95</v>
      </c>
      <c r="L43" s="19" t="s">
        <v>58</v>
      </c>
      <c r="M43" s="19" t="s">
        <v>98</v>
      </c>
      <c r="N43" s="19" t="s">
        <v>47</v>
      </c>
      <c r="O43" s="20">
        <v>44974</v>
      </c>
      <c r="P43" s="20"/>
      <c r="Q43" s="21">
        <f ca="1">IF(T_Prestamos[[#This Row],[Situación]]="Cancelados",T_Prestamos[[#This Row],[Fecha cancelación]],TODAY())-T_Prestamos[[#This Row],[firma préstamo]]</f>
        <v>375</v>
      </c>
      <c r="R43" s="24">
        <f ca="1">IF(T_Prestamos[[#This Row],[Situación]]="Cancelada","",DATEDIF(T_Prestamos[[#This Row],[firma préstamo]],TODAY(),"m"))</f>
        <v>49</v>
      </c>
      <c r="S43" s="25">
        <f>IF(T_Prestamos[[#This Row],[Situación]]="Cancelados",0,IF(T_Prestamos[[#This Row],[Tipo préstamo]]="Americano",T_Prestamos[[#This Row],[Importe]],T_Prestamos[[#This Row],[Importe]]+CUMPRINC(G43/12,E43*12,F43,1,R43,0)))</f>
        <v>0</v>
      </c>
      <c r="T43" s="25">
        <f>IF(T_Prestamos[[#This Row],[Situación]]="Cancelados",0,IF(T_Prestamos[[#This Row],[Tipo préstamo]]="Americano",T_Prestamos[[#This Row],[Pendiente]]*T_Prestamos[[#This Row],[% interés ordinario]],-CUMIPMT(G43/12,E43*12,F43,R43,R43+11,0)))</f>
        <v>0</v>
      </c>
      <c r="U43" s="26">
        <v>0.01</v>
      </c>
      <c r="V43" s="27">
        <f>T_Prestamos[[#This Row],[% apertura]]*T_Prestamos[[#This Row],[Importe]]</f>
        <v>1074.25</v>
      </c>
      <c r="W43" s="28"/>
      <c r="X43" s="29" t="s">
        <v>99</v>
      </c>
      <c r="Y43" s="27">
        <f ca="1">IF(T_Prestamos[[#This Row],[Situación]]="Activos",IF(T_Prestamos[[#This Row],[Tipo préstamo]]="Francés",DATEDIF(T_Prestamos[[#This Row],[firma préstamo]],DATE(YEAR(TODAY()),1,1),"m"),0),0)</f>
        <v>0</v>
      </c>
      <c r="Z43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43" s="41">
        <f ca="1">IF(T_Prestamos[[#This Row],[firma préstamo]]&gt;DATE(YEAR(TODAY())-1,MONTH(TODAY()),DAY(TODAY())),T_Prestamos[[#This Row],[Importe]]*T_Prestamos[[#This Row],[% apertura]],0)</f>
        <v>0</v>
      </c>
    </row>
    <row r="44" spans="2:27" x14ac:dyDescent="0.2">
      <c r="B44" s="28">
        <v>2041</v>
      </c>
      <c r="C44" s="28" t="s">
        <v>100</v>
      </c>
      <c r="D44" s="30">
        <v>44553</v>
      </c>
      <c r="E44" s="28">
        <v>2</v>
      </c>
      <c r="F44" s="31">
        <v>42000</v>
      </c>
      <c r="G44" s="32">
        <f>13.75%-3%</f>
        <v>0.10750000000000001</v>
      </c>
      <c r="H44" s="32">
        <f>T_Prestamos[[#This Row],[% interés ordinario]]+3%</f>
        <v>0.13750000000000001</v>
      </c>
      <c r="I44" s="31">
        <v>293345</v>
      </c>
      <c r="J44" s="23">
        <f>IF(T_Prestamos[[#This Row],[Garantía]]="","",T_Prestamos[[#This Row],[Pendiente]]/T_Prestamos[[#This Row],[Garantía]])</f>
        <v>0.14317612367689922</v>
      </c>
      <c r="K44" s="32" t="s">
        <v>95</v>
      </c>
      <c r="L44" s="28" t="s">
        <v>58</v>
      </c>
      <c r="M44" s="28" t="s">
        <v>96</v>
      </c>
      <c r="N44" s="28" t="s">
        <v>51</v>
      </c>
      <c r="O44" s="30"/>
      <c r="P44" s="41"/>
      <c r="Q44" s="31">
        <f ca="1">IF(T_Prestamos[[#This Row],[Situación]]="Cancelados",T_Prestamos[[#This Row],[Fecha cancelación]],TODAY())-T_Prestamos[[#This Row],[firma préstamo]]</f>
        <v>1543</v>
      </c>
      <c r="R44" s="31">
        <f ca="1">IF(T_Prestamos[[#This Row],[Situación]]="Cancelada","",DATEDIF(T_Prestamos[[#This Row],[firma préstamo]],TODAY(),"m"))</f>
        <v>50</v>
      </c>
      <c r="S44" s="25">
        <f>IF(T_Prestamos[[#This Row],[Situación]]="Cancelados",0,IF(T_Prestamos[[#This Row],[Tipo préstamo]]="Americano",T_Prestamos[[#This Row],[Importe]],T_Prestamos[[#This Row],[Importe]]+CUMPRINC(G44/12,E44*12,F44,1,R44,0)))</f>
        <v>42000</v>
      </c>
      <c r="T44" s="25">
        <f>IF(T_Prestamos[[#This Row],[Situación]]="Cancelados",0,IF(T_Prestamos[[#This Row],[Tipo préstamo]]="Americano",T_Prestamos[[#This Row],[Pendiente]]*T_Prestamos[[#This Row],[% interés ordinario]],-CUMIPMT(G44/12,E44*12,F44,R44,R44+11,0)))</f>
        <v>4515.0000000000009</v>
      </c>
      <c r="U44" s="33">
        <v>0</v>
      </c>
      <c r="V44" s="34">
        <f>T_Prestamos[[#This Row],[% apertura]]*T_Prestamos[[#This Row],[Importe]]</f>
        <v>0</v>
      </c>
      <c r="W44" s="28"/>
      <c r="X44" s="28"/>
      <c r="Y44" s="41">
        <f ca="1">IF(T_Prestamos[[#This Row],[Situación]]="Activos",IF(T_Prestamos[[#This Row],[Tipo préstamo]]="Francés",DATEDIF(T_Prestamos[[#This Row],[firma préstamo]],DATE(YEAR(TODAY()),1,1),"m"),0),0)</f>
        <v>0</v>
      </c>
      <c r="Z44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4515.0000000000009</v>
      </c>
      <c r="AA44" s="41">
        <f ca="1">IF(T_Prestamos[[#This Row],[firma préstamo]]&gt;DATE(YEAR(TODAY())-1,MONTH(TODAY()),DAY(TODAY())),T_Prestamos[[#This Row],[Importe]]*T_Prestamos[[#This Row],[% apertura]],0)</f>
        <v>0</v>
      </c>
    </row>
    <row r="45" spans="2:27" x14ac:dyDescent="0.2">
      <c r="B45" s="28">
        <v>2042</v>
      </c>
      <c r="C45" s="28" t="s">
        <v>101</v>
      </c>
      <c r="D45" s="30">
        <v>44709</v>
      </c>
      <c r="E45" s="28">
        <v>10</v>
      </c>
      <c r="F45" s="31">
        <v>107425</v>
      </c>
      <c r="G45" s="32">
        <v>0.1095</v>
      </c>
      <c r="H45" s="23">
        <f>T_Prestamos[[#This Row],[% interés ordinario]]+3%</f>
        <v>0.13950000000000001</v>
      </c>
      <c r="I45" s="31">
        <f>473711/2</f>
        <v>236855.5</v>
      </c>
      <c r="J45" s="23">
        <f>IF(T_Prestamos[[#This Row],[Garantía]]="","",T_Prestamos[[#This Row],[Pendiente]]/T_Prestamos[[#This Row],[Garantía]])</f>
        <v>0.45354657164389256</v>
      </c>
      <c r="K45" s="32" t="s">
        <v>95</v>
      </c>
      <c r="L45" s="28" t="s">
        <v>58</v>
      </c>
      <c r="M45" s="28" t="s">
        <v>98</v>
      </c>
      <c r="N45" s="28" t="s">
        <v>51</v>
      </c>
      <c r="O45" s="30"/>
      <c r="P45" s="41"/>
      <c r="Q45" s="31">
        <f ca="1">IF(T_Prestamos[[#This Row],[Situación]]="Cancelados",T_Prestamos[[#This Row],[Fecha cancelación]],TODAY())-T_Prestamos[[#This Row],[firma préstamo]]</f>
        <v>1387</v>
      </c>
      <c r="R45" s="31">
        <f ca="1">IF(T_Prestamos[[#This Row],[Situación]]="Cancelada","",DATEDIF(T_Prestamos[[#This Row],[firma préstamo]],TODAY(),"m"))</f>
        <v>45</v>
      </c>
      <c r="S45" s="25">
        <f>IF(T_Prestamos[[#This Row],[Situación]]="Cancelados",0,IF(T_Prestamos[[#This Row],[Tipo préstamo]]="Americano",T_Prestamos[[#This Row],[Importe]],T_Prestamos[[#This Row],[Importe]]+CUMPRINC(G45/12,E45*12,F45,1,R45,0)))</f>
        <v>107425</v>
      </c>
      <c r="T45" s="25">
        <f>IF(T_Prestamos[[#This Row],[Situación]]="Cancelados",0,IF(T_Prestamos[[#This Row],[Tipo préstamo]]="Americano",T_Prestamos[[#This Row],[Pendiente]]*T_Prestamos[[#This Row],[% interés ordinario]],-CUMIPMT(G45/12,E45*12,F45,R45,R45+11,0)))</f>
        <v>11763.0375</v>
      </c>
      <c r="U45" s="42">
        <v>0.01</v>
      </c>
      <c r="V45" s="41">
        <f>T_Prestamos[[#This Row],[% apertura]]*T_Prestamos[[#This Row],[Importe]]</f>
        <v>1074.25</v>
      </c>
      <c r="W45" s="28"/>
      <c r="X45" s="28" t="s">
        <v>99</v>
      </c>
      <c r="Y45" s="41">
        <f ca="1">IF(T_Prestamos[[#This Row],[Situación]]="Activos",IF(T_Prestamos[[#This Row],[Tipo préstamo]]="Francés",DATEDIF(T_Prestamos[[#This Row],[firma préstamo]],DATE(YEAR(TODAY()),1,1),"m"),0),0)</f>
        <v>0</v>
      </c>
      <c r="Z45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11763.0375</v>
      </c>
      <c r="AA45" s="41">
        <f ca="1">IF(T_Prestamos[[#This Row],[firma préstamo]]&gt;DATE(YEAR(TODAY())-1,MONTH(TODAY()),DAY(TODAY())),T_Prestamos[[#This Row],[Importe]]*T_Prestamos[[#This Row],[% apertura]],0)</f>
        <v>0</v>
      </c>
    </row>
    <row r="46" spans="2:27" x14ac:dyDescent="0.2">
      <c r="B46" s="19">
        <v>2043</v>
      </c>
      <c r="C46" s="19" t="s">
        <v>102</v>
      </c>
      <c r="D46" s="20">
        <v>44708</v>
      </c>
      <c r="E46" s="19">
        <v>2</v>
      </c>
      <c r="F46" s="21">
        <v>50000</v>
      </c>
      <c r="G46" s="22">
        <v>0.09</v>
      </c>
      <c r="H46" s="43">
        <f>T_Prestamos[[#This Row],[% interés ordinario]]+3%</f>
        <v>0.12</v>
      </c>
      <c r="I46" s="21"/>
      <c r="J46" s="23" t="str">
        <f>IF(T_Prestamos[[#This Row],[Garantía]]="","",T_Prestamos[[#This Row],[Pendiente]]/T_Prestamos[[#This Row],[Garantía]])</f>
        <v/>
      </c>
      <c r="K46" s="32" t="s">
        <v>95</v>
      </c>
      <c r="L46" s="19" t="s">
        <v>58</v>
      </c>
      <c r="M46" s="19" t="s">
        <v>96</v>
      </c>
      <c r="N46" s="19" t="s">
        <v>47</v>
      </c>
      <c r="O46" s="20">
        <v>45198</v>
      </c>
      <c r="P46" s="20"/>
      <c r="Q46" s="21">
        <f ca="1">IF(T_Prestamos[[#This Row],[Situación]]="Cancelados",T_Prestamos[[#This Row],[Fecha cancelación]],TODAY())-T_Prestamos[[#This Row],[firma préstamo]]</f>
        <v>490</v>
      </c>
      <c r="R46" s="21">
        <f ca="1">IF(T_Prestamos[[#This Row],[Situación]]="Cancelada","",DATEDIF(T_Prestamos[[#This Row],[firma préstamo]],TODAY(),"m"))</f>
        <v>45</v>
      </c>
      <c r="S46" s="25">
        <f>IF(T_Prestamos[[#This Row],[Situación]]="Cancelados",0,IF(T_Prestamos[[#This Row],[Tipo préstamo]]="Americano",T_Prestamos[[#This Row],[Importe]],T_Prestamos[[#This Row],[Importe]]+CUMPRINC(G46/12,E46*12,F46,1,R46,0)))</f>
        <v>0</v>
      </c>
      <c r="T46" s="25">
        <f>IF(T_Prestamos[[#This Row],[Situación]]="Cancelados",0,IF(T_Prestamos[[#This Row],[Tipo préstamo]]="Americano",T_Prestamos[[#This Row],[Pendiente]]*T_Prestamos[[#This Row],[% interés ordinario]],-CUMIPMT(G46/12,E46*12,F46,R46,R46+11,0)))</f>
        <v>0</v>
      </c>
      <c r="U46" s="26">
        <v>0</v>
      </c>
      <c r="V46" s="27">
        <f>T_Prestamos[[#This Row],[% apertura]]*T_Prestamos[[#This Row],[Importe]]</f>
        <v>0</v>
      </c>
      <c r="W46" s="28"/>
      <c r="X46" s="29"/>
      <c r="Y46" s="27">
        <f ca="1">IF(T_Prestamos[[#This Row],[Situación]]="Activos",IF(T_Prestamos[[#This Row],[Tipo préstamo]]="Francés",DATEDIF(T_Prestamos[[#This Row],[firma préstamo]],DATE(YEAR(TODAY()),1,1),"m"),0),0)</f>
        <v>0</v>
      </c>
      <c r="Z46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46" s="41">
        <f ca="1">IF(T_Prestamos[[#This Row],[firma préstamo]]&gt;DATE(YEAR(TODAY())-1,MONTH(TODAY()),DAY(TODAY())),T_Prestamos[[#This Row],[Importe]]*T_Prestamos[[#This Row],[% apertura]],0)</f>
        <v>0</v>
      </c>
    </row>
    <row r="47" spans="2:27" x14ac:dyDescent="0.2">
      <c r="B47" s="19">
        <v>2044</v>
      </c>
      <c r="C47" s="19" t="s">
        <v>103</v>
      </c>
      <c r="D47" s="20">
        <v>44979</v>
      </c>
      <c r="E47" s="19">
        <v>5</v>
      </c>
      <c r="F47" s="21">
        <v>229425</v>
      </c>
      <c r="G47" s="22">
        <v>9.9500000000000005E-2</v>
      </c>
      <c r="H47" s="43">
        <f>T_Prestamos[[#This Row],[% interés ordinario]]+3%</f>
        <v>0.1295</v>
      </c>
      <c r="I47" s="21"/>
      <c r="J47" s="23" t="str">
        <f>IF(T_Prestamos[[#This Row],[Garantía]]="","",T_Prestamos[[#This Row],[Pendiente]]/T_Prestamos[[#This Row],[Garantía]])</f>
        <v/>
      </c>
      <c r="K47" s="32" t="s">
        <v>95</v>
      </c>
      <c r="L47" s="19" t="s">
        <v>58</v>
      </c>
      <c r="M47" s="19" t="s">
        <v>98</v>
      </c>
      <c r="N47" s="19" t="s">
        <v>47</v>
      </c>
      <c r="O47" s="20">
        <v>45164</v>
      </c>
      <c r="P47" s="20"/>
      <c r="Q47" s="21">
        <f ca="1">IF(T_Prestamos[[#This Row],[Situación]]="Cancelados",T_Prestamos[[#This Row],[Fecha cancelación]],TODAY())-T_Prestamos[[#This Row],[firma préstamo]]</f>
        <v>185</v>
      </c>
      <c r="R47" s="21">
        <f ca="1">IF(T_Prestamos[[#This Row],[Situación]]="Cancelada","",DATEDIF(T_Prestamos[[#This Row],[firma préstamo]],TODAY(),"m"))</f>
        <v>36</v>
      </c>
      <c r="S47" s="25">
        <f>IF(T_Prestamos[[#This Row],[Situación]]="Cancelados",0,IF(T_Prestamos[[#This Row],[Tipo préstamo]]="Americano",T_Prestamos[[#This Row],[Importe]],T_Prestamos[[#This Row],[Importe]]+CUMPRINC(G47/12,E47*12,F47,1,R47,0)))</f>
        <v>0</v>
      </c>
      <c r="T47" s="25">
        <f>IF(T_Prestamos[[#This Row],[Situación]]="Cancelados",0,IF(T_Prestamos[[#This Row],[Tipo préstamo]]="Americano",T_Prestamos[[#This Row],[Pendiente]]*T_Prestamos[[#This Row],[% interés ordinario]],-CUMIPMT(G47/12,E47*12,F47,R47,R47+11,0)))</f>
        <v>0</v>
      </c>
      <c r="U47" s="26">
        <v>0.01</v>
      </c>
      <c r="V47" s="27">
        <f>T_Prestamos[[#This Row],[% apertura]]*T_Prestamos[[#This Row],[Importe]]</f>
        <v>2294.25</v>
      </c>
      <c r="W47" s="28"/>
      <c r="X47" s="29"/>
      <c r="Y47" s="27">
        <f ca="1">IF(T_Prestamos[[#This Row],[Situación]]="Activos",IF(T_Prestamos[[#This Row],[Tipo préstamo]]="Francés",DATEDIF(T_Prestamos[[#This Row],[firma préstamo]],DATE(YEAR(TODAY()),1,1),"m"),0),0)</f>
        <v>0</v>
      </c>
      <c r="Z47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47" s="41">
        <f ca="1">IF(T_Prestamos[[#This Row],[firma préstamo]]&gt;DATE(YEAR(TODAY())-1,MONTH(TODAY()),DAY(TODAY())),T_Prestamos[[#This Row],[Importe]]*T_Prestamos[[#This Row],[% apertura]],0)</f>
        <v>0</v>
      </c>
    </row>
    <row r="48" spans="2:27" x14ac:dyDescent="0.2">
      <c r="B48" s="19">
        <v>2045</v>
      </c>
      <c r="C48" s="19" t="s">
        <v>104</v>
      </c>
      <c r="D48" s="20">
        <v>45237</v>
      </c>
      <c r="E48" s="19">
        <v>2</v>
      </c>
      <c r="F48" s="21">
        <v>10000</v>
      </c>
      <c r="G48" s="22">
        <v>9.0700000000000003E-2</v>
      </c>
      <c r="H48" s="43">
        <f>T_Prestamos[[#This Row],[% interés ordinario]]+3%</f>
        <v>0.1207</v>
      </c>
      <c r="I48" s="21"/>
      <c r="J48" s="23" t="str">
        <f>IF(T_Prestamos[[#This Row],[Garantía]]="","",T_Prestamos[[#This Row],[Pendiente]]/T_Prestamos[[#This Row],[Garantía]])</f>
        <v/>
      </c>
      <c r="K48" s="32" t="s">
        <v>95</v>
      </c>
      <c r="L48" s="19" t="s">
        <v>58</v>
      </c>
      <c r="M48" s="19" t="s">
        <v>96</v>
      </c>
      <c r="N48" s="19" t="s">
        <v>47</v>
      </c>
      <c r="O48" s="20">
        <v>45401</v>
      </c>
      <c r="P48" s="20"/>
      <c r="Q48" s="21">
        <f ca="1">IF(T_Prestamos[[#This Row],[Situación]]="Cancelados",T_Prestamos[[#This Row],[Fecha cancelación]],TODAY())-T_Prestamos[[#This Row],[firma préstamo]]</f>
        <v>164</v>
      </c>
      <c r="R48" s="21">
        <f ca="1">IF(T_Prestamos[[#This Row],[Situación]]="Cancelada","",DATEDIF(T_Prestamos[[#This Row],[firma préstamo]],TODAY(),"m"))</f>
        <v>28</v>
      </c>
      <c r="S48" s="25">
        <f>IF(T_Prestamos[[#This Row],[Situación]]="Cancelados",0,IF(T_Prestamos[[#This Row],[Tipo préstamo]]="Americano",T_Prestamos[[#This Row],[Importe]],T_Prestamos[[#This Row],[Importe]]+CUMPRINC(G48/12,E48*12,F48,1,R48,0)))</f>
        <v>0</v>
      </c>
      <c r="T48" s="25">
        <f>IF(T_Prestamos[[#This Row],[Situación]]="Cancelados",0,IF(T_Prestamos[[#This Row],[Tipo préstamo]]="Americano",T_Prestamos[[#This Row],[Pendiente]]*T_Prestamos[[#This Row],[% interés ordinario]],-CUMIPMT(G48/12,E48*12,F48,R48,R48+11,0)))</f>
        <v>0</v>
      </c>
      <c r="U48" s="26">
        <v>0</v>
      </c>
      <c r="V48" s="27">
        <f>T_Prestamos[[#This Row],[% apertura]]*T_Prestamos[[#This Row],[Importe]]</f>
        <v>0</v>
      </c>
      <c r="W48" s="28"/>
      <c r="X48" s="29"/>
      <c r="Y48" s="27">
        <f ca="1">IF(T_Prestamos[[#This Row],[Situación]]="Activos",IF(T_Prestamos[[#This Row],[Tipo préstamo]]="Francés",DATEDIF(T_Prestamos[[#This Row],[firma préstamo]],DATE(YEAR(TODAY()),1,1),"m"),0),0)</f>
        <v>0</v>
      </c>
      <c r="Z48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48" s="41">
        <f ca="1">IF(T_Prestamos[[#This Row],[firma préstamo]]&gt;DATE(YEAR(TODAY())-1,MONTH(TODAY()),DAY(TODAY())),T_Prestamos[[#This Row],[Importe]]*T_Prestamos[[#This Row],[% apertura]],0)</f>
        <v>0</v>
      </c>
    </row>
    <row r="49" spans="2:27" x14ac:dyDescent="0.2">
      <c r="B49" s="19">
        <v>2046</v>
      </c>
      <c r="C49" s="19" t="s">
        <v>105</v>
      </c>
      <c r="D49" s="20">
        <v>45244</v>
      </c>
      <c r="E49" s="19">
        <v>2</v>
      </c>
      <c r="F49" s="21">
        <v>10000</v>
      </c>
      <c r="G49" s="22">
        <v>9.74E-2</v>
      </c>
      <c r="H49" s="43">
        <f>T_Prestamos[[#This Row],[% interés ordinario]]+3%</f>
        <v>0.12740000000000001</v>
      </c>
      <c r="I49" s="21"/>
      <c r="J49" s="23" t="str">
        <f>IF(T_Prestamos[[#This Row],[Garantía]]="","",T_Prestamos[[#This Row],[Pendiente]]/T_Prestamos[[#This Row],[Garantía]])</f>
        <v/>
      </c>
      <c r="K49" s="32" t="s">
        <v>95</v>
      </c>
      <c r="L49" s="19" t="s">
        <v>58</v>
      </c>
      <c r="M49" s="19" t="s">
        <v>96</v>
      </c>
      <c r="N49" s="19" t="s">
        <v>47</v>
      </c>
      <c r="O49" s="20">
        <v>45499</v>
      </c>
      <c r="P49" s="20"/>
      <c r="Q49" s="21">
        <f ca="1">IF(T_Prestamos[[#This Row],[Situación]]="Cancelados",T_Prestamos[[#This Row],[Fecha cancelación]],TODAY())-T_Prestamos[[#This Row],[firma préstamo]]</f>
        <v>255</v>
      </c>
      <c r="R49" s="21">
        <f ca="1">IF(T_Prestamos[[#This Row],[Situación]]="Cancelada","",DATEDIF(T_Prestamos[[#This Row],[firma préstamo]],TODAY(),"m"))</f>
        <v>28</v>
      </c>
      <c r="S49" s="25">
        <f>IF(T_Prestamos[[#This Row],[Situación]]="Cancelados",0,IF(T_Prestamos[[#This Row],[Tipo préstamo]]="Americano",T_Prestamos[[#This Row],[Importe]],T_Prestamos[[#This Row],[Importe]]+CUMPRINC(G49/12,E49*12,F49,1,R49,0)))</f>
        <v>0</v>
      </c>
      <c r="T49" s="25">
        <f>IF(T_Prestamos[[#This Row],[Situación]]="Cancelados",0,IF(T_Prestamos[[#This Row],[Tipo préstamo]]="Americano",T_Prestamos[[#This Row],[Pendiente]]*T_Prestamos[[#This Row],[% interés ordinario]],-CUMIPMT(G49/12,E49*12,F49,R49,R49+11,0)))</f>
        <v>0</v>
      </c>
      <c r="U49" s="26">
        <v>0</v>
      </c>
      <c r="V49" s="27">
        <f>T_Prestamos[[#This Row],[% apertura]]*T_Prestamos[[#This Row],[Importe]]</f>
        <v>0</v>
      </c>
      <c r="W49" s="28"/>
      <c r="X49" s="29"/>
      <c r="Y49" s="27">
        <f ca="1">IF(T_Prestamos[[#This Row],[Situación]]="Activos",IF(T_Prestamos[[#This Row],[Tipo préstamo]]="Francés",DATEDIF(T_Prestamos[[#This Row],[firma préstamo]],DATE(YEAR(TODAY()),1,1),"m"),0),0)</f>
        <v>0</v>
      </c>
      <c r="Z49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49" s="41">
        <f ca="1">IF(T_Prestamos[[#This Row],[firma préstamo]]&gt;DATE(YEAR(TODAY())-1,MONTH(TODAY()),DAY(TODAY())),T_Prestamos[[#This Row],[Importe]]*T_Prestamos[[#This Row],[% apertura]],0)</f>
        <v>0</v>
      </c>
    </row>
    <row r="50" spans="2:27" x14ac:dyDescent="0.2">
      <c r="B50" s="19">
        <v>2047</v>
      </c>
      <c r="C50" s="19" t="s">
        <v>106</v>
      </c>
      <c r="D50" s="20">
        <v>45254</v>
      </c>
      <c r="E50" s="19">
        <v>10</v>
      </c>
      <c r="F50" s="21">
        <v>124595</v>
      </c>
      <c r="G50" s="22">
        <v>0.115</v>
      </c>
      <c r="H50" s="43">
        <f>T_Prestamos[[#This Row],[% interés ordinario]]+3%</f>
        <v>0.14500000000000002</v>
      </c>
      <c r="I50" s="21"/>
      <c r="J50" s="23" t="str">
        <f>IF(T_Prestamos[[#This Row],[Garantía]]="","",T_Prestamos[[#This Row],[Pendiente]]/T_Prestamos[[#This Row],[Garantía]])</f>
        <v/>
      </c>
      <c r="K50" s="32" t="s">
        <v>95</v>
      </c>
      <c r="L50" s="19" t="s">
        <v>58</v>
      </c>
      <c r="M50" s="19" t="s">
        <v>98</v>
      </c>
      <c r="N50" s="19" t="s">
        <v>47</v>
      </c>
      <c r="O50" s="20">
        <v>45589</v>
      </c>
      <c r="P50" s="20"/>
      <c r="Q50" s="21">
        <f ca="1">IF(T_Prestamos[[#This Row],[Situación]]="Cancelados",T_Prestamos[[#This Row],[Fecha cancelación]],TODAY())-T_Prestamos[[#This Row],[firma préstamo]]</f>
        <v>335</v>
      </c>
      <c r="R50" s="21">
        <f ca="1">IF(T_Prestamos[[#This Row],[Situación]]="Cancelada","",DATEDIF(T_Prestamos[[#This Row],[firma préstamo]],TODAY(),"m"))</f>
        <v>27</v>
      </c>
      <c r="S50" s="25">
        <f>IF(T_Prestamos[[#This Row],[Situación]]="Cancelados",0,IF(T_Prestamos[[#This Row],[Tipo préstamo]]="Americano",T_Prestamos[[#This Row],[Importe]],T_Prestamos[[#This Row],[Importe]]+CUMPRINC(G50/12,E50*12,F50,1,R50,0)))</f>
        <v>0</v>
      </c>
      <c r="T50" s="25">
        <f>IF(T_Prestamos[[#This Row],[Situación]]="Cancelados",0,IF(T_Prestamos[[#This Row],[Tipo préstamo]]="Americano",T_Prestamos[[#This Row],[Pendiente]]*T_Prestamos[[#This Row],[% interés ordinario]],-CUMIPMT(G50/12,E50*12,F50,R50,R50+11,0)))</f>
        <v>0</v>
      </c>
      <c r="U50" s="26">
        <v>0.01</v>
      </c>
      <c r="V50" s="27">
        <f>T_Prestamos[[#This Row],[% apertura]]*T_Prestamos[[#This Row],[Importe]]</f>
        <v>1245.95</v>
      </c>
      <c r="W50" s="28"/>
      <c r="X50" s="29" t="s">
        <v>107</v>
      </c>
      <c r="Y50" s="27">
        <f ca="1">IF(T_Prestamos[[#This Row],[Situación]]="Activos",IF(T_Prestamos[[#This Row],[Tipo préstamo]]="Francés",DATEDIF(T_Prestamos[[#This Row],[firma préstamo]],DATE(YEAR(TODAY()),1,1),"m"),0),0)</f>
        <v>0</v>
      </c>
      <c r="Z50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50" s="41">
        <f ca="1">IF(T_Prestamos[[#This Row],[firma préstamo]]&gt;DATE(YEAR(TODAY())-1,MONTH(TODAY()),DAY(TODAY())),T_Prestamos[[#This Row],[Importe]]*T_Prestamos[[#This Row],[% apertura]],0)</f>
        <v>0</v>
      </c>
    </row>
    <row r="51" spans="2:27" x14ac:dyDescent="0.2">
      <c r="B51" s="28">
        <v>2048</v>
      </c>
      <c r="C51" s="28" t="s">
        <v>108</v>
      </c>
      <c r="D51" s="30">
        <v>45258</v>
      </c>
      <c r="E51" s="28">
        <v>10</v>
      </c>
      <c r="F51" s="31">
        <v>172975</v>
      </c>
      <c r="G51" s="32">
        <v>0.105</v>
      </c>
      <c r="H51" s="23">
        <f>T_Prestamos[[#This Row],[% interés ordinario]]+3%</f>
        <v>0.13500000000000001</v>
      </c>
      <c r="I51" s="31">
        <v>545912</v>
      </c>
      <c r="J51" s="23">
        <f ca="1">IF(T_Prestamos[[#This Row],[Garantía]]="","",T_Prestamos[[#This Row],[Pendiente]]/T_Prestamos[[#This Row],[Garantía]])</f>
        <v>0.27130295109789371</v>
      </c>
      <c r="K51" s="32" t="s">
        <v>95</v>
      </c>
      <c r="L51" s="28" t="s">
        <v>45</v>
      </c>
      <c r="M51" s="28" t="s">
        <v>98</v>
      </c>
      <c r="N51" s="28" t="s">
        <v>51</v>
      </c>
      <c r="O51" s="30"/>
      <c r="P51" s="41">
        <f>T_Prestamos[[#This Row],[Importe]]*T_Prestamos[[#This Row],[% interés ordinario]]/12</f>
        <v>1513.53125</v>
      </c>
      <c r="Q51" s="31">
        <f ca="1">IF(T_Prestamos[[#This Row],[Situación]]="Cancelados",T_Prestamos[[#This Row],[Fecha cancelación]],TODAY())-T_Prestamos[[#This Row],[firma préstamo]]</f>
        <v>838</v>
      </c>
      <c r="R51" s="31">
        <f ca="1">IF(T_Prestamos[[#This Row],[Situación]]="Cancelada","",DATEDIF(T_Prestamos[[#This Row],[firma préstamo]],TODAY(),"m"))</f>
        <v>27</v>
      </c>
      <c r="S51" s="25">
        <f ca="1">IF(T_Prestamos[[#This Row],[Situación]]="Cancelados",0,IF(T_Prestamos[[#This Row],[Tipo préstamo]]="Americano",T_Prestamos[[#This Row],[Importe]],T_Prestamos[[#This Row],[Importe]]+CUMPRINC(G51/12,E51*12,F51,1,R51,0)))</f>
        <v>148107.53663975335</v>
      </c>
      <c r="T51" s="25">
        <f ca="1">IF(T_Prestamos[[#This Row],[Situación]]="Cancelados",0,IF(T_Prestamos[[#This Row],[Tipo préstamo]]="Americano",T_Prestamos[[#This Row],[Pendiente]]*T_Prestamos[[#This Row],[% interés ordinario]],-CUMIPMT(G51/12,E51*12,F51,R51,R51+11,0)))</f>
        <v>15047.365229241137</v>
      </c>
      <c r="U51" s="42">
        <v>0.01</v>
      </c>
      <c r="V51" s="41">
        <f>T_Prestamos[[#This Row],[% apertura]]*T_Prestamos[[#This Row],[Importe]]</f>
        <v>1729.75</v>
      </c>
      <c r="W51" s="28"/>
      <c r="X51" s="28" t="s">
        <v>109</v>
      </c>
      <c r="Y51" s="41">
        <f ca="1">IF(T_Prestamos[[#This Row],[Situación]]="Activos",IF(T_Prestamos[[#This Row],[Tipo préstamo]]="Francés",DATEDIF(T_Prestamos[[#This Row],[firma préstamo]],DATE(YEAR(TODAY()),1,1),"m"),0),0)</f>
        <v>25</v>
      </c>
      <c r="Z51" s="58">
        <f ca="1"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15271.24169505815</v>
      </c>
      <c r="AA51" s="41">
        <f ca="1">IF(T_Prestamos[[#This Row],[firma préstamo]]&gt;DATE(YEAR(TODAY())-1,MONTH(TODAY()),DAY(TODAY())),T_Prestamos[[#This Row],[Importe]]*T_Prestamos[[#This Row],[% apertura]],0)</f>
        <v>0</v>
      </c>
    </row>
    <row r="52" spans="2:27" x14ac:dyDescent="0.2">
      <c r="B52" s="19">
        <v>2049</v>
      </c>
      <c r="C52" s="19" t="s">
        <v>110</v>
      </c>
      <c r="D52" s="20">
        <v>45258</v>
      </c>
      <c r="E52" s="19">
        <v>2</v>
      </c>
      <c r="F52" s="21">
        <v>10000</v>
      </c>
      <c r="G52" s="22">
        <v>0.1109</v>
      </c>
      <c r="H52" s="43">
        <f>T_Prestamos[[#This Row],[% interés ordinario]]+3%</f>
        <v>0.1409</v>
      </c>
      <c r="I52" s="21"/>
      <c r="J52" s="23" t="str">
        <f>IF(T_Prestamos[[#This Row],[Garantía]]="","",T_Prestamos[[#This Row],[Pendiente]]/T_Prestamos[[#This Row],[Garantía]])</f>
        <v/>
      </c>
      <c r="K52" s="32" t="s">
        <v>95</v>
      </c>
      <c r="L52" s="19" t="s">
        <v>58</v>
      </c>
      <c r="M52" s="19" t="s">
        <v>96</v>
      </c>
      <c r="N52" s="19" t="s">
        <v>47</v>
      </c>
      <c r="O52" s="20">
        <v>45737</v>
      </c>
      <c r="P52" s="20"/>
      <c r="Q52" s="21">
        <f ca="1">IF(T_Prestamos[[#This Row],[Situación]]="Cancelados",T_Prestamos[[#This Row],[Fecha cancelación]],TODAY())-T_Prestamos[[#This Row],[firma préstamo]]</f>
        <v>479</v>
      </c>
      <c r="R52" s="21">
        <f ca="1">IF(T_Prestamos[[#This Row],[Situación]]="Cancelada","",DATEDIF(T_Prestamos[[#This Row],[firma préstamo]],TODAY(),"m"))</f>
        <v>27</v>
      </c>
      <c r="S52" s="25">
        <f>IF(T_Prestamos[[#This Row],[Situación]]="Cancelados",0,IF(T_Prestamos[[#This Row],[Tipo préstamo]]="Americano",T_Prestamos[[#This Row],[Importe]],T_Prestamos[[#This Row],[Importe]]+CUMPRINC(G52/12,E52*12,F52,1,R52,0)))</f>
        <v>0</v>
      </c>
      <c r="T52" s="25">
        <f>IF(T_Prestamos[[#This Row],[Situación]]="Cancelados",0,IF(T_Prestamos[[#This Row],[Tipo préstamo]]="Americano",T_Prestamos[[#This Row],[Pendiente]]*T_Prestamos[[#This Row],[% interés ordinario]],-CUMIPMT(G52/12,E52*12,F52,R52,R52+11,0)))</f>
        <v>0</v>
      </c>
      <c r="U52" s="26">
        <v>0</v>
      </c>
      <c r="V52" s="27">
        <f>T_Prestamos[[#This Row],[% apertura]]*T_Prestamos[[#This Row],[Importe]]</f>
        <v>0</v>
      </c>
      <c r="W52" s="28"/>
      <c r="X52" s="29"/>
      <c r="Y52" s="27">
        <f ca="1">IF(T_Prestamos[[#This Row],[Situación]]="Activos",IF(T_Prestamos[[#This Row],[Tipo préstamo]]="Francés",DATEDIF(T_Prestamos[[#This Row],[firma préstamo]],DATE(YEAR(TODAY()),1,1),"m"),0),0)</f>
        <v>0</v>
      </c>
      <c r="Z52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52" s="41">
        <f ca="1">IF(T_Prestamos[[#This Row],[firma préstamo]]&gt;DATE(YEAR(TODAY())-1,MONTH(TODAY()),DAY(TODAY())),T_Prestamos[[#This Row],[Importe]]*T_Prestamos[[#This Row],[% apertura]],0)</f>
        <v>0</v>
      </c>
    </row>
    <row r="53" spans="2:27" x14ac:dyDescent="0.2">
      <c r="B53" s="19">
        <v>2050</v>
      </c>
      <c r="C53" s="19" t="s">
        <v>111</v>
      </c>
      <c r="D53" s="20">
        <v>45282</v>
      </c>
      <c r="E53" s="19">
        <v>2</v>
      </c>
      <c r="F53" s="21">
        <v>10000</v>
      </c>
      <c r="G53" s="22">
        <v>9.74E-2</v>
      </c>
      <c r="H53" s="43">
        <f>T_Prestamos[[#This Row],[% interés ordinario]]+3%</f>
        <v>0.12740000000000001</v>
      </c>
      <c r="I53" s="21"/>
      <c r="J53" s="23" t="str">
        <f>IF(T_Prestamos[[#This Row],[Garantía]]="","",T_Prestamos[[#This Row],[Pendiente]]/T_Prestamos[[#This Row],[Garantía]])</f>
        <v/>
      </c>
      <c r="K53" s="32" t="s">
        <v>95</v>
      </c>
      <c r="L53" s="19" t="s">
        <v>58</v>
      </c>
      <c r="M53" s="19" t="s">
        <v>96</v>
      </c>
      <c r="N53" s="19" t="s">
        <v>47</v>
      </c>
      <c r="O53" s="20">
        <v>45615</v>
      </c>
      <c r="P53" s="20"/>
      <c r="Q53" s="21">
        <f ca="1">IF(T_Prestamos[[#This Row],[Situación]]="Cancelados",T_Prestamos[[#This Row],[Fecha cancelación]],TODAY())-T_Prestamos[[#This Row],[firma préstamo]]</f>
        <v>333</v>
      </c>
      <c r="R53" s="21">
        <f ca="1">IF(T_Prestamos[[#This Row],[Situación]]="Cancelada","",DATEDIF(T_Prestamos[[#This Row],[firma préstamo]],TODAY(),"m"))</f>
        <v>26</v>
      </c>
      <c r="S53" s="25">
        <f>IF(T_Prestamos[[#This Row],[Situación]]="Cancelados",0,IF(T_Prestamos[[#This Row],[Tipo préstamo]]="Americano",T_Prestamos[[#This Row],[Importe]],T_Prestamos[[#This Row],[Importe]]+CUMPRINC(G53/12,E53*12,F53,1,R53,0)))</f>
        <v>0</v>
      </c>
      <c r="T53" s="25">
        <f>IF(T_Prestamos[[#This Row],[Situación]]="Cancelados",0,IF(T_Prestamos[[#This Row],[Tipo préstamo]]="Americano",T_Prestamos[[#This Row],[Pendiente]]*T_Prestamos[[#This Row],[% interés ordinario]],-CUMIPMT(G53/12,E53*12,F53,R53,R53+11,0)))</f>
        <v>0</v>
      </c>
      <c r="U53" s="26">
        <v>0</v>
      </c>
      <c r="V53" s="27">
        <f>T_Prestamos[[#This Row],[% apertura]]*T_Prestamos[[#This Row],[Importe]]</f>
        <v>0</v>
      </c>
      <c r="W53" s="28"/>
      <c r="X53" s="29"/>
      <c r="Y53" s="27">
        <f ca="1">IF(T_Prestamos[[#This Row],[Situación]]="Activos",IF(T_Prestamos[[#This Row],[Tipo préstamo]]="Francés",DATEDIF(T_Prestamos[[#This Row],[firma préstamo]],DATE(YEAR(TODAY()),1,1),"m"),0),0)</f>
        <v>0</v>
      </c>
      <c r="Z53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53" s="41">
        <f ca="1">IF(T_Prestamos[[#This Row],[firma préstamo]]&gt;DATE(YEAR(TODAY())-1,MONTH(TODAY()),DAY(TODAY())),T_Prestamos[[#This Row],[Importe]]*T_Prestamos[[#This Row],[% apertura]],0)</f>
        <v>0</v>
      </c>
    </row>
    <row r="54" spans="2:27" x14ac:dyDescent="0.2">
      <c r="B54" s="19">
        <v>2051</v>
      </c>
      <c r="C54" s="19" t="s">
        <v>112</v>
      </c>
      <c r="D54" s="20">
        <v>45287</v>
      </c>
      <c r="E54" s="19">
        <v>2</v>
      </c>
      <c r="F54" s="21">
        <v>10000</v>
      </c>
      <c r="G54" s="22">
        <v>0.1128</v>
      </c>
      <c r="H54" s="43">
        <f>T_Prestamos[[#This Row],[% interés ordinario]]+3%</f>
        <v>0.14279999999999998</v>
      </c>
      <c r="I54" s="21"/>
      <c r="J54" s="23" t="str">
        <f>IF(T_Prestamos[[#This Row],[Garantía]]="","",T_Prestamos[[#This Row],[Pendiente]]/T_Prestamos[[#This Row],[Garantía]])</f>
        <v/>
      </c>
      <c r="K54" s="32" t="s">
        <v>95</v>
      </c>
      <c r="L54" s="19" t="s">
        <v>58</v>
      </c>
      <c r="M54" s="19" t="s">
        <v>96</v>
      </c>
      <c r="N54" s="19" t="s">
        <v>47</v>
      </c>
      <c r="O54" s="20">
        <v>45733</v>
      </c>
      <c r="P54" s="20"/>
      <c r="Q54" s="21">
        <f ca="1">IF(T_Prestamos[[#This Row],[Situación]]="Cancelados",T_Prestamos[[#This Row],[Fecha cancelación]],TODAY())-T_Prestamos[[#This Row],[firma préstamo]]</f>
        <v>446</v>
      </c>
      <c r="R54" s="21">
        <f ca="1">IF(T_Prestamos[[#This Row],[Situación]]="Cancelada","",DATEDIF(T_Prestamos[[#This Row],[firma préstamo]],TODAY(),"m"))</f>
        <v>26</v>
      </c>
      <c r="S54" s="25">
        <f>IF(T_Prestamos[[#This Row],[Situación]]="Cancelados",0,IF(T_Prestamos[[#This Row],[Tipo préstamo]]="Americano",T_Prestamos[[#This Row],[Importe]],T_Prestamos[[#This Row],[Importe]]+CUMPRINC(G54/12,E54*12,F54,1,R54,0)))</f>
        <v>0</v>
      </c>
      <c r="T54" s="25">
        <f>IF(T_Prestamos[[#This Row],[Situación]]="Cancelados",0,IF(T_Prestamos[[#This Row],[Tipo préstamo]]="Americano",T_Prestamos[[#This Row],[Pendiente]]*T_Prestamos[[#This Row],[% interés ordinario]],-CUMIPMT(G54/12,E54*12,F54,R54,R54+11,0)))</f>
        <v>0</v>
      </c>
      <c r="U54" s="26">
        <v>0</v>
      </c>
      <c r="V54" s="27">
        <f>T_Prestamos[[#This Row],[% apertura]]*T_Prestamos[[#This Row],[Importe]]</f>
        <v>0</v>
      </c>
      <c r="W54" s="28"/>
      <c r="X54" s="29"/>
      <c r="Y54" s="27">
        <f ca="1">IF(T_Prestamos[[#This Row],[Situación]]="Activos",IF(T_Prestamos[[#This Row],[Tipo préstamo]]="Francés",DATEDIF(T_Prestamos[[#This Row],[firma préstamo]],DATE(YEAR(TODAY()),1,1),"m"),0),0)</f>
        <v>0</v>
      </c>
      <c r="Z54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54" s="41">
        <f ca="1">IF(T_Prestamos[[#This Row],[firma préstamo]]&gt;DATE(YEAR(TODAY())-1,MONTH(TODAY()),DAY(TODAY())),T_Prestamos[[#This Row],[Importe]]*T_Prestamos[[#This Row],[% apertura]],0)</f>
        <v>0</v>
      </c>
    </row>
    <row r="55" spans="2:27" x14ac:dyDescent="0.2">
      <c r="B55" s="19">
        <v>2053</v>
      </c>
      <c r="C55" s="19" t="s">
        <v>113</v>
      </c>
      <c r="D55" s="20">
        <v>45366</v>
      </c>
      <c r="E55" s="19">
        <v>5</v>
      </c>
      <c r="F55" s="21">
        <v>59745</v>
      </c>
      <c r="G55" s="22">
        <v>0.1095</v>
      </c>
      <c r="H55" s="43">
        <f>T_Prestamos[[#This Row],[% interés ordinario]]+3%</f>
        <v>0.13950000000000001</v>
      </c>
      <c r="I55" s="21"/>
      <c r="J55" s="23" t="str">
        <f>IF(T_Prestamos[[#This Row],[Garantía]]="","",T_Prestamos[[#This Row],[Pendiente]]/T_Prestamos[[#This Row],[Garantía]])</f>
        <v/>
      </c>
      <c r="K55" s="32" t="s">
        <v>95</v>
      </c>
      <c r="L55" s="19" t="s">
        <v>58</v>
      </c>
      <c r="M55" s="19" t="s">
        <v>98</v>
      </c>
      <c r="N55" s="19" t="s">
        <v>47</v>
      </c>
      <c r="O55" s="20">
        <v>45684</v>
      </c>
      <c r="P55" s="20"/>
      <c r="Q55" s="21">
        <f ca="1">IF(T_Prestamos[[#This Row],[Situación]]="Cancelados",T_Prestamos[[#This Row],[Fecha cancelación]],TODAY())-T_Prestamos[[#This Row],[firma préstamo]]</f>
        <v>318</v>
      </c>
      <c r="R55" s="21">
        <f ca="1">IF(T_Prestamos[[#This Row],[Situación]]="Cancelada","",DATEDIF(T_Prestamos[[#This Row],[firma préstamo]],TODAY(),"m"))</f>
        <v>24</v>
      </c>
      <c r="S55" s="25">
        <f>IF(T_Prestamos[[#This Row],[Situación]]="Cancelados",0,IF(T_Prestamos[[#This Row],[Tipo préstamo]]="Americano",T_Prestamos[[#This Row],[Importe]],T_Prestamos[[#This Row],[Importe]]+CUMPRINC(G55/12,E55*12,F55,1,R55,0)))</f>
        <v>0</v>
      </c>
      <c r="T55" s="25">
        <f>IF(T_Prestamos[[#This Row],[Situación]]="Cancelados",0,IF(T_Prestamos[[#This Row],[Tipo préstamo]]="Americano",T_Prestamos[[#This Row],[Pendiente]]*T_Prestamos[[#This Row],[% interés ordinario]],-CUMIPMT(G55/12,E55*12,F55,R55,R55+11,0)))</f>
        <v>0</v>
      </c>
      <c r="U55" s="26">
        <v>0.01</v>
      </c>
      <c r="V55" s="27">
        <f>T_Prestamos[[#This Row],[% apertura]]*T_Prestamos[[#This Row],[Importe]]</f>
        <v>597.45000000000005</v>
      </c>
      <c r="W55" s="28"/>
      <c r="X55" s="29" t="s">
        <v>114</v>
      </c>
      <c r="Y55" s="27">
        <f ca="1">IF(T_Prestamos[[#This Row],[Situación]]="Activos",IF(T_Prestamos[[#This Row],[Tipo préstamo]]="Francés",DATEDIF(T_Prestamos[[#This Row],[firma préstamo]],DATE(YEAR(TODAY()),1,1),"m"),0),0)</f>
        <v>0</v>
      </c>
      <c r="Z55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55" s="41">
        <f ca="1">IF(T_Prestamos[[#This Row],[firma préstamo]]&gt;DATE(YEAR(TODAY())-1,MONTH(TODAY()),DAY(TODAY())),T_Prestamos[[#This Row],[Importe]]*T_Prestamos[[#This Row],[% apertura]],0)</f>
        <v>0</v>
      </c>
    </row>
    <row r="56" spans="2:27" x14ac:dyDescent="0.2">
      <c r="B56" s="19">
        <v>2054</v>
      </c>
      <c r="C56" s="19" t="s">
        <v>115</v>
      </c>
      <c r="D56" s="20">
        <v>45366</v>
      </c>
      <c r="E56" s="19">
        <v>5</v>
      </c>
      <c r="F56" s="21">
        <v>118495</v>
      </c>
      <c r="G56" s="22">
        <v>0.1095</v>
      </c>
      <c r="H56" s="43">
        <f>T_Prestamos[[#This Row],[% interés ordinario]]+3%</f>
        <v>0.13950000000000001</v>
      </c>
      <c r="I56" s="21"/>
      <c r="J56" s="23" t="str">
        <f>IF(T_Prestamos[[#This Row],[Garantía]]="","",T_Prestamos[[#This Row],[Pendiente]]/T_Prestamos[[#This Row],[Garantía]])</f>
        <v/>
      </c>
      <c r="K56" s="32" t="s">
        <v>95</v>
      </c>
      <c r="L56" s="19" t="s">
        <v>58</v>
      </c>
      <c r="M56" s="19" t="s">
        <v>98</v>
      </c>
      <c r="N56" s="19" t="s">
        <v>47</v>
      </c>
      <c r="O56" s="20">
        <v>45489</v>
      </c>
      <c r="P56" s="20"/>
      <c r="Q56" s="21">
        <f ca="1">IF(T_Prestamos[[#This Row],[Situación]]="Cancelados",T_Prestamos[[#This Row],[Fecha cancelación]],TODAY())-T_Prestamos[[#This Row],[firma préstamo]]</f>
        <v>123</v>
      </c>
      <c r="R56" s="21">
        <f ca="1">IF(T_Prestamos[[#This Row],[Situación]]="Cancelada","",DATEDIF(T_Prestamos[[#This Row],[firma préstamo]],TODAY(),"m"))</f>
        <v>24</v>
      </c>
      <c r="S56" s="25">
        <f>IF(T_Prestamos[[#This Row],[Situación]]="Cancelados",0,IF(T_Prestamos[[#This Row],[Tipo préstamo]]="Americano",T_Prestamos[[#This Row],[Importe]],T_Prestamos[[#This Row],[Importe]]+CUMPRINC(G56/12,E56*12,F56,1,R56,0)))</f>
        <v>0</v>
      </c>
      <c r="T56" s="25">
        <f>IF(T_Prestamos[[#This Row],[Situación]]="Cancelados",0,IF(T_Prestamos[[#This Row],[Tipo préstamo]]="Americano",T_Prestamos[[#This Row],[Pendiente]]*T_Prestamos[[#This Row],[% interés ordinario]],-CUMIPMT(G56/12,E56*12,F56,R56,R56+11,0)))</f>
        <v>0</v>
      </c>
      <c r="U56" s="26">
        <v>0.01</v>
      </c>
      <c r="V56" s="27">
        <f>T_Prestamos[[#This Row],[% apertura]]*T_Prestamos[[#This Row],[Importe]]</f>
        <v>1184.95</v>
      </c>
      <c r="W56" s="28"/>
      <c r="X56" s="29" t="s">
        <v>116</v>
      </c>
      <c r="Y56" s="27">
        <f ca="1">IF(T_Prestamos[[#This Row],[Situación]]="Activos",IF(T_Prestamos[[#This Row],[Tipo préstamo]]="Francés",DATEDIF(T_Prestamos[[#This Row],[firma préstamo]],DATE(YEAR(TODAY()),1,1),"m"),0),0)</f>
        <v>0</v>
      </c>
      <c r="Z56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0</v>
      </c>
      <c r="AA56" s="41">
        <f ca="1">IF(T_Prestamos[[#This Row],[firma préstamo]]&gt;DATE(YEAR(TODAY())-1,MONTH(TODAY()),DAY(TODAY())),T_Prestamos[[#This Row],[Importe]]*T_Prestamos[[#This Row],[% apertura]],0)</f>
        <v>0</v>
      </c>
    </row>
    <row r="57" spans="2:27" x14ac:dyDescent="0.2">
      <c r="B57" s="28">
        <v>2055</v>
      </c>
      <c r="C57" s="28" t="s">
        <v>117</v>
      </c>
      <c r="D57" s="30">
        <v>45385</v>
      </c>
      <c r="E57" s="28">
        <v>5</v>
      </c>
      <c r="F57" s="31">
        <v>110000</v>
      </c>
      <c r="G57" s="32">
        <v>0.1</v>
      </c>
      <c r="H57" s="23">
        <f>T_Prestamos[[#This Row],[% interés ordinario]]+3%</f>
        <v>0.13</v>
      </c>
      <c r="I57" s="31">
        <v>280239</v>
      </c>
      <c r="J57" s="23">
        <f>IF(T_Prestamos[[#This Row],[Garantía]]="","",T_Prestamos[[#This Row],[Pendiente]]/T_Prestamos[[#This Row],[Garantía]])</f>
        <v>0.39252209720988157</v>
      </c>
      <c r="K57" s="32" t="s">
        <v>95</v>
      </c>
      <c r="L57" s="28" t="s">
        <v>58</v>
      </c>
      <c r="M57" s="28" t="s">
        <v>118</v>
      </c>
      <c r="N57" s="28" t="s">
        <v>51</v>
      </c>
      <c r="O57" s="30"/>
      <c r="P57" s="41"/>
      <c r="Q57" s="31">
        <f ca="1">IF(T_Prestamos[[#This Row],[Situación]]="Cancelados",T_Prestamos[[#This Row],[Fecha cancelación]],TODAY())-T_Prestamos[[#This Row],[firma préstamo]]</f>
        <v>711</v>
      </c>
      <c r="R57" s="31">
        <f ca="1">IF(T_Prestamos[[#This Row],[Situación]]="Cancelada","",DATEDIF(T_Prestamos[[#This Row],[firma préstamo]],TODAY(),"m"))</f>
        <v>23</v>
      </c>
      <c r="S57" s="25">
        <f>IF(T_Prestamos[[#This Row],[Situación]]="Cancelados",0,IF(T_Prestamos[[#This Row],[Tipo préstamo]]="Americano",T_Prestamos[[#This Row],[Importe]],T_Prestamos[[#This Row],[Importe]]+CUMPRINC(G57/12,E57*12,F57,1,R57,0)))</f>
        <v>110000</v>
      </c>
      <c r="T57" s="25">
        <f>IF(T_Prestamos[[#This Row],[Situación]]="Cancelados",0,IF(T_Prestamos[[#This Row],[Tipo préstamo]]="Americano",T_Prestamos[[#This Row],[Pendiente]]*T_Prestamos[[#This Row],[% interés ordinario]],-CUMIPMT(G57/12,E57*12,F57,R57,R57+11,0)))</f>
        <v>11000</v>
      </c>
      <c r="U57" s="42">
        <v>0.01</v>
      </c>
      <c r="V57" s="41">
        <f>T_Prestamos[[#This Row],[% apertura]]*T_Prestamos[[#This Row],[Importe]]</f>
        <v>1100</v>
      </c>
      <c r="W57" s="28"/>
      <c r="X57" s="28" t="s">
        <v>119</v>
      </c>
      <c r="Y57" s="41">
        <f ca="1">IF(T_Prestamos[[#This Row],[Situación]]="Activos",IF(T_Prestamos[[#This Row],[Tipo préstamo]]="Francés",DATEDIF(T_Prestamos[[#This Row],[firma préstamo]],DATE(YEAR(TODAY()),1,1),"m"),0),0)</f>
        <v>0</v>
      </c>
      <c r="Z57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11000</v>
      </c>
      <c r="AA57" s="41">
        <f ca="1">IF(T_Prestamos[[#This Row],[firma préstamo]]&gt;DATE(YEAR(TODAY())-1,MONTH(TODAY()),DAY(TODAY())),T_Prestamos[[#This Row],[Importe]]*T_Prestamos[[#This Row],[% apertura]],0)</f>
        <v>0</v>
      </c>
    </row>
    <row r="58" spans="2:27" x14ac:dyDescent="0.2">
      <c r="B58" s="28">
        <v>2056</v>
      </c>
      <c r="C58" s="28" t="s">
        <v>120</v>
      </c>
      <c r="D58" s="30">
        <v>45470</v>
      </c>
      <c r="E58" s="28">
        <v>10</v>
      </c>
      <c r="F58" s="31">
        <v>160000</v>
      </c>
      <c r="G58" s="32">
        <v>0.115</v>
      </c>
      <c r="H58" s="23">
        <f>T_Prestamos[[#This Row],[% interés ordinario]]+3%</f>
        <v>0.14500000000000002</v>
      </c>
      <c r="I58" s="31">
        <v>400639</v>
      </c>
      <c r="J58" s="23">
        <f>IF(T_Prestamos[[#This Row],[Garantía]]="","",T_Prestamos[[#This Row],[Pendiente]]/T_Prestamos[[#This Row],[Garantía]])</f>
        <v>0.39936201917436892</v>
      </c>
      <c r="K58" s="32" t="s">
        <v>95</v>
      </c>
      <c r="L58" s="28" t="s">
        <v>58</v>
      </c>
      <c r="M58" s="28" t="s">
        <v>98</v>
      </c>
      <c r="N58" s="28" t="s">
        <v>51</v>
      </c>
      <c r="O58" s="30"/>
      <c r="P58" s="41"/>
      <c r="Q58" s="31">
        <f ca="1">IF(T_Prestamos[[#This Row],[Situación]]="Cancelados",T_Prestamos[[#This Row],[Fecha cancelación]],TODAY())-T_Prestamos[[#This Row],[firma préstamo]]</f>
        <v>626</v>
      </c>
      <c r="R58" s="31">
        <f ca="1">IF(T_Prestamos[[#This Row],[Situación]]="Cancelada","",DATEDIF(T_Prestamos[[#This Row],[firma préstamo]],TODAY(),"m"))</f>
        <v>20</v>
      </c>
      <c r="S58" s="25">
        <f>IF(T_Prestamos[[#This Row],[Situación]]="Cancelados",0,IF(T_Prestamos[[#This Row],[Tipo préstamo]]="Americano",T_Prestamos[[#This Row],[Importe]],T_Prestamos[[#This Row],[Importe]]+CUMPRINC(G58/12,E58*12,F58,1,R58,0)))</f>
        <v>160000</v>
      </c>
      <c r="T58" s="25">
        <f>IF(T_Prestamos[[#This Row],[Situación]]="Cancelados",0,IF(T_Prestamos[[#This Row],[Tipo préstamo]]="Americano",T_Prestamos[[#This Row],[Pendiente]]*T_Prestamos[[#This Row],[% interés ordinario]],-CUMIPMT(G58/12,E58*12,F58,R58,R58+11,0)))</f>
        <v>18400</v>
      </c>
      <c r="U58" s="42">
        <v>0.01</v>
      </c>
      <c r="V58" s="41">
        <f>T_Prestamos[[#This Row],[% apertura]]*T_Prestamos[[#This Row],[Importe]]</f>
        <v>1600</v>
      </c>
      <c r="W58" s="28"/>
      <c r="X58" s="28" t="s">
        <v>99</v>
      </c>
      <c r="Y58" s="41">
        <f ca="1">IF(T_Prestamos[[#This Row],[Situación]]="Activos",IF(T_Prestamos[[#This Row],[Tipo préstamo]]="Francés",DATEDIF(T_Prestamos[[#This Row],[firma préstamo]],DATE(YEAR(TODAY()),1,1),"m"),0),0)</f>
        <v>0</v>
      </c>
      <c r="Z58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18400</v>
      </c>
      <c r="AA58" s="41">
        <f ca="1">IF(T_Prestamos[[#This Row],[firma préstamo]]&gt;DATE(YEAR(TODAY())-1,MONTH(TODAY()),DAY(TODAY())),T_Prestamos[[#This Row],[Importe]]*T_Prestamos[[#This Row],[% apertura]],0)</f>
        <v>0</v>
      </c>
    </row>
    <row r="59" spans="2:27" x14ac:dyDescent="0.2">
      <c r="B59" s="44">
        <v>2057</v>
      </c>
      <c r="C59" s="28" t="s">
        <v>121</v>
      </c>
      <c r="D59" s="30">
        <v>45561</v>
      </c>
      <c r="E59" s="28">
        <v>5</v>
      </c>
      <c r="F59" s="31">
        <v>114020</v>
      </c>
      <c r="G59" s="32">
        <v>0.1095</v>
      </c>
      <c r="H59" s="23">
        <f>T_Prestamos[[#This Row],[% interés ordinario]]+3%</f>
        <v>0.13950000000000001</v>
      </c>
      <c r="I59" s="31">
        <v>327927</v>
      </c>
      <c r="J59" s="23">
        <f>IF(T_Prestamos[[#This Row],[Garantía]]="","",T_Prestamos[[#This Row],[Pendiente]]/T_Prestamos[[#This Row],[Garantía]])</f>
        <v>0.34769933552284504</v>
      </c>
      <c r="K59" s="32" t="s">
        <v>95</v>
      </c>
      <c r="L59" s="28" t="s">
        <v>58</v>
      </c>
      <c r="M59" s="28" t="s">
        <v>98</v>
      </c>
      <c r="N59" s="28" t="s">
        <v>51</v>
      </c>
      <c r="O59" s="30"/>
      <c r="P59" s="41"/>
      <c r="Q59" s="31">
        <f ca="1">IF(T_Prestamos[[#This Row],[Situación]]="Cancelados",T_Prestamos[[#This Row],[Fecha cancelación]],TODAY())-T_Prestamos[[#This Row],[firma préstamo]]</f>
        <v>535</v>
      </c>
      <c r="R59" s="31">
        <f ca="1">IF(T_Prestamos[[#This Row],[Situación]]="Cancelada","",DATEDIF(T_Prestamos[[#This Row],[firma préstamo]],TODAY(),"m"))</f>
        <v>17</v>
      </c>
      <c r="S59" s="25">
        <f>IF(T_Prestamos[[#This Row],[Situación]]="Cancelados",0,IF(T_Prestamos[[#This Row],[Tipo préstamo]]="Americano",T_Prestamos[[#This Row],[Importe]],T_Prestamos[[#This Row],[Importe]]+CUMPRINC(G59/12,E59*12,F59,1,R59,0)))</f>
        <v>114020</v>
      </c>
      <c r="T59" s="25">
        <f>IF(T_Prestamos[[#This Row],[Situación]]="Cancelados",0,IF(T_Prestamos[[#This Row],[Tipo préstamo]]="Americano",T_Prestamos[[#This Row],[Pendiente]]*T_Prestamos[[#This Row],[% interés ordinario]],-CUMIPMT(G59/12,E59*12,F59,R59,R59+11,0)))</f>
        <v>12485.19</v>
      </c>
      <c r="U59" s="42">
        <v>0.01</v>
      </c>
      <c r="V59" s="41">
        <f>T_Prestamos[[#This Row],[% apertura]]*T_Prestamos[[#This Row],[Importe]]</f>
        <v>1140.2</v>
      </c>
      <c r="W59" s="28"/>
      <c r="X59" s="28" t="s">
        <v>122</v>
      </c>
      <c r="Y59" s="41">
        <f ca="1">IF(T_Prestamos[[#This Row],[Situación]]="Activos",IF(T_Prestamos[[#This Row],[Tipo préstamo]]="Francés",DATEDIF(T_Prestamos[[#This Row],[firma préstamo]],DATE(YEAR(TODAY()),1,1),"m"),0),0)</f>
        <v>0</v>
      </c>
      <c r="Z59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12485.19</v>
      </c>
      <c r="AA59" s="41">
        <f ca="1">IF(T_Prestamos[[#This Row],[firma préstamo]]&gt;DATE(YEAR(TODAY())-1,MONTH(TODAY()),DAY(TODAY())),T_Prestamos[[#This Row],[Importe]]*T_Prestamos[[#This Row],[% apertura]],0)</f>
        <v>0</v>
      </c>
    </row>
    <row r="60" spans="2:27" x14ac:dyDescent="0.2">
      <c r="B60" s="28">
        <v>2058</v>
      </c>
      <c r="C60" s="28" t="s">
        <v>123</v>
      </c>
      <c r="D60" s="30">
        <v>45714</v>
      </c>
      <c r="E60" s="28">
        <v>2</v>
      </c>
      <c r="F60" s="31">
        <v>20000</v>
      </c>
      <c r="G60" s="32">
        <v>0.11</v>
      </c>
      <c r="H60" s="32">
        <v>0.17</v>
      </c>
      <c r="I60" s="31">
        <f>T_Prestamos[[#This Row],[Importe]]/39.53%</f>
        <v>50594.485201113079</v>
      </c>
      <c r="J60" s="23">
        <f>IF(T_Prestamos[[#This Row],[Garantía]]="","",T_Prestamos[[#This Row],[Pendiente]]/T_Prestamos[[#This Row],[Garantía]])</f>
        <v>0.39529999999999998</v>
      </c>
      <c r="K60" s="32" t="s">
        <v>95</v>
      </c>
      <c r="L60" s="28" t="s">
        <v>58</v>
      </c>
      <c r="M60" s="28" t="s">
        <v>96</v>
      </c>
      <c r="N60" s="28" t="s">
        <v>51</v>
      </c>
      <c r="O60" s="30"/>
      <c r="P60" s="41"/>
      <c r="Q60" s="31">
        <f ca="1">IF(T_Prestamos[[#This Row],[Situación]]="Cancelados",T_Prestamos[[#This Row],[Fecha cancelación]],TODAY())-T_Prestamos[[#This Row],[firma préstamo]]</f>
        <v>382</v>
      </c>
      <c r="R60" s="31">
        <f ca="1">IF(T_Prestamos[[#This Row],[Situación]]="Cancelada","",DATEDIF(T_Prestamos[[#This Row],[firma préstamo]],TODAY(),"m"))</f>
        <v>12</v>
      </c>
      <c r="S60" s="25">
        <f>IF(T_Prestamos[[#This Row],[Situación]]="Cancelados",0,IF(T_Prestamos[[#This Row],[Tipo préstamo]]="Americano",T_Prestamos[[#This Row],[Importe]],T_Prestamos[[#This Row],[Importe]]+CUMPRINC(G60/12,E60*12,F60,1,R60,0)))</f>
        <v>20000</v>
      </c>
      <c r="T60" s="25">
        <f>IF(T_Prestamos[[#This Row],[Situación]]="Cancelados",0,IF(T_Prestamos[[#This Row],[Tipo préstamo]]="Americano",T_Prestamos[[#This Row],[Pendiente]]*T_Prestamos[[#This Row],[% interés ordinario]],-CUMIPMT(G60/12,E60*12,F60,R60,R60+11,0)))</f>
        <v>2200</v>
      </c>
      <c r="U60" s="33">
        <v>0</v>
      </c>
      <c r="V60" s="34">
        <f>T_Prestamos[[#This Row],[% apertura]]*T_Prestamos[[#This Row],[Importe]]</f>
        <v>0</v>
      </c>
      <c r="W60" s="28"/>
      <c r="X60" s="28"/>
      <c r="Y60" s="41">
        <f ca="1">IF(T_Prestamos[[#This Row],[Situación]]="Activos",IF(T_Prestamos[[#This Row],[Tipo préstamo]]="Francés",DATEDIF(T_Prestamos[[#This Row],[firma préstamo]],DATE(YEAR(TODAY()),1,1),"m"),0),0)</f>
        <v>0</v>
      </c>
      <c r="Z60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2200</v>
      </c>
      <c r="AA60" s="41">
        <f ca="1">IF(T_Prestamos[[#This Row],[firma préstamo]]&gt;DATE(YEAR(TODAY())-1,MONTH(TODAY()),DAY(TODAY())),T_Prestamos[[#This Row],[Importe]]*T_Prestamos[[#This Row],[% apertura]],0)</f>
        <v>0</v>
      </c>
    </row>
    <row r="61" spans="2:27" x14ac:dyDescent="0.2">
      <c r="B61" s="28">
        <v>2059</v>
      </c>
      <c r="C61" s="28" t="s">
        <v>124</v>
      </c>
      <c r="D61" s="30">
        <v>45709</v>
      </c>
      <c r="E61" s="28">
        <v>2</v>
      </c>
      <c r="F61" s="31">
        <v>20000</v>
      </c>
      <c r="G61" s="32">
        <v>0.11</v>
      </c>
      <c r="H61" s="32">
        <v>0.17</v>
      </c>
      <c r="I61" s="31">
        <f>T_Prestamos[[#This Row],[Importe]]/36.33%</f>
        <v>55050.922102945231</v>
      </c>
      <c r="J61" s="23">
        <f>IF(T_Prestamos[[#This Row],[Garantía]]="","",T_Prestamos[[#This Row],[Pendiente]]/T_Prestamos[[#This Row],[Garantía]])</f>
        <v>0.36329999999999996</v>
      </c>
      <c r="K61" s="32" t="s">
        <v>95</v>
      </c>
      <c r="L61" s="28" t="s">
        <v>58</v>
      </c>
      <c r="M61" s="28" t="s">
        <v>96</v>
      </c>
      <c r="N61" s="28" t="s">
        <v>51</v>
      </c>
      <c r="O61" s="30"/>
      <c r="P61" s="41"/>
      <c r="Q61" s="31">
        <f ca="1">IF(T_Prestamos[[#This Row],[Situación]]="Cancelados",T_Prestamos[[#This Row],[Fecha cancelación]],TODAY())-T_Prestamos[[#This Row],[firma préstamo]]</f>
        <v>387</v>
      </c>
      <c r="R61" s="31">
        <f ca="1">IF(T_Prestamos[[#This Row],[Situación]]="Cancelada","",DATEDIF(T_Prestamos[[#This Row],[firma préstamo]],TODAY(),"m"))</f>
        <v>12</v>
      </c>
      <c r="S61" s="25">
        <f>IF(T_Prestamos[[#This Row],[Situación]]="Cancelados",0,IF(T_Prestamos[[#This Row],[Tipo préstamo]]="Americano",T_Prestamos[[#This Row],[Importe]],T_Prestamos[[#This Row],[Importe]]+CUMPRINC(G61/12,E61*12,F61,1,R61,0)))</f>
        <v>20000</v>
      </c>
      <c r="T61" s="25">
        <f>IF(T_Prestamos[[#This Row],[Situación]]="Cancelados",0,IF(T_Prestamos[[#This Row],[Tipo préstamo]]="Americano",T_Prestamos[[#This Row],[Pendiente]]*T_Prestamos[[#This Row],[% interés ordinario]],-CUMIPMT(G61/12,E61*12,F61,R61,R61+11,0)))</f>
        <v>2200</v>
      </c>
      <c r="U61" s="33">
        <v>0</v>
      </c>
      <c r="V61" s="34">
        <f>T_Prestamos[[#This Row],[% apertura]]*T_Prestamos[[#This Row],[Importe]]</f>
        <v>0</v>
      </c>
      <c r="W61" s="28"/>
      <c r="X61" s="28"/>
      <c r="Y61" s="41">
        <f ca="1">IF(T_Prestamos[[#This Row],[Situación]]="Activos",IF(T_Prestamos[[#This Row],[Tipo préstamo]]="Francés",DATEDIF(T_Prestamos[[#This Row],[firma préstamo]],DATE(YEAR(TODAY()),1,1),"m"),0),0)</f>
        <v>0</v>
      </c>
      <c r="Z61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2200</v>
      </c>
      <c r="AA61" s="41">
        <f ca="1">IF(T_Prestamos[[#This Row],[firma préstamo]]&gt;DATE(YEAR(TODAY())-1,MONTH(TODAY()),DAY(TODAY())),T_Prestamos[[#This Row],[Importe]]*T_Prestamos[[#This Row],[% apertura]],0)</f>
        <v>0</v>
      </c>
    </row>
    <row r="62" spans="2:27" x14ac:dyDescent="0.2">
      <c r="B62" s="44">
        <v>2060</v>
      </c>
      <c r="C62" s="28" t="s">
        <v>125</v>
      </c>
      <c r="D62" s="30">
        <v>45713</v>
      </c>
      <c r="E62" s="28">
        <v>5</v>
      </c>
      <c r="F62" s="31">
        <v>71940</v>
      </c>
      <c r="G62" s="32">
        <v>0.1095</v>
      </c>
      <c r="H62" s="23">
        <f>T_Prestamos[[#This Row],[% interés ordinario]]+3%</f>
        <v>0.13950000000000001</v>
      </c>
      <c r="I62" s="31">
        <v>298382</v>
      </c>
      <c r="J62" s="23">
        <f>IF(T_Prestamos[[#This Row],[Garantía]]="","",T_Prestamos[[#This Row],[Pendiente]]/T_Prestamos[[#This Row],[Garantía]])</f>
        <v>0.24110033447057799</v>
      </c>
      <c r="K62" s="32" t="s">
        <v>95</v>
      </c>
      <c r="L62" s="28" t="s">
        <v>58</v>
      </c>
      <c r="M62" s="28" t="s">
        <v>98</v>
      </c>
      <c r="N62" s="28" t="s">
        <v>51</v>
      </c>
      <c r="O62" s="30"/>
      <c r="P62" s="41"/>
      <c r="Q62" s="31">
        <f ca="1">IF(T_Prestamos[[#This Row],[Situación]]="Cancelados",T_Prestamos[[#This Row],[Fecha cancelación]],TODAY())-T_Prestamos[[#This Row],[firma préstamo]]</f>
        <v>383</v>
      </c>
      <c r="R62" s="31">
        <f ca="1">IF(T_Prestamos[[#This Row],[Situación]]="Cancelada","",DATEDIF(T_Prestamos[[#This Row],[firma préstamo]],TODAY(),"m"))</f>
        <v>12</v>
      </c>
      <c r="S62" s="25">
        <f>IF(T_Prestamos[[#This Row],[Situación]]="Cancelados",0,IF(T_Prestamos[[#This Row],[Tipo préstamo]]="Americano",T_Prestamos[[#This Row],[Importe]],T_Prestamos[[#This Row],[Importe]]+CUMPRINC(G62/12,E62*12,F62,1,R62,0)))</f>
        <v>71940</v>
      </c>
      <c r="T62" s="25">
        <f>IF(T_Prestamos[[#This Row],[Situación]]="Cancelados",0,IF(T_Prestamos[[#This Row],[Tipo préstamo]]="Americano",T_Prestamos[[#This Row],[Pendiente]]*T_Prestamos[[#This Row],[% interés ordinario]],-CUMIPMT(G62/12,E62*12,F62,R62,R62+11,0)))</f>
        <v>7877.43</v>
      </c>
      <c r="U62" s="42">
        <v>0.01</v>
      </c>
      <c r="V62" s="41">
        <f>T_Prestamos[[#This Row],[% apertura]]*T_Prestamos[[#This Row],[Importe]]</f>
        <v>719.4</v>
      </c>
      <c r="W62" s="28"/>
      <c r="X62" s="28" t="s">
        <v>126</v>
      </c>
      <c r="Y62" s="41">
        <f ca="1">IF(T_Prestamos[[#This Row],[Situación]]="Activos",IF(T_Prestamos[[#This Row],[Tipo préstamo]]="Francés",DATEDIF(T_Prestamos[[#This Row],[firma préstamo]],DATE(YEAR(TODAY()),1,1),"m"),0),0)</f>
        <v>0</v>
      </c>
      <c r="Z62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7877.43</v>
      </c>
      <c r="AA62" s="41">
        <f ca="1">IF(T_Prestamos[[#This Row],[firma préstamo]]&gt;DATE(YEAR(TODAY())-1,MONTH(TODAY()),DAY(TODAY())),T_Prestamos[[#This Row],[Importe]]*T_Prestamos[[#This Row],[% apertura]],0)</f>
        <v>0</v>
      </c>
    </row>
    <row r="63" spans="2:27" x14ac:dyDescent="0.2">
      <c r="B63" s="44">
        <v>2061</v>
      </c>
      <c r="C63" s="28" t="s">
        <v>127</v>
      </c>
      <c r="D63" s="30">
        <v>45742</v>
      </c>
      <c r="E63" s="28">
        <v>5</v>
      </c>
      <c r="F63" s="31">
        <v>143990</v>
      </c>
      <c r="G63" s="32">
        <v>0.1095</v>
      </c>
      <c r="H63" s="23">
        <f>T_Prestamos[[#This Row],[% interés ordinario]]+3%</f>
        <v>0.13950000000000001</v>
      </c>
      <c r="I63" s="31">
        <v>335500</v>
      </c>
      <c r="J63" s="23">
        <f>IF(T_Prestamos[[#This Row],[Garantía]]="","",T_Prestamos[[#This Row],[Pendiente]]/T_Prestamos[[#This Row],[Garantía]])</f>
        <v>0.42918032786885246</v>
      </c>
      <c r="K63" s="32" t="s">
        <v>95</v>
      </c>
      <c r="L63" s="28" t="s">
        <v>58</v>
      </c>
      <c r="M63" s="28" t="s">
        <v>98</v>
      </c>
      <c r="N63" s="28" t="s">
        <v>51</v>
      </c>
      <c r="O63" s="30"/>
      <c r="P63" s="41"/>
      <c r="Q63" s="31">
        <f ca="1">IF(T_Prestamos[[#This Row],[Situación]]="Cancelados",T_Prestamos[[#This Row],[Fecha cancelación]],TODAY())-T_Prestamos[[#This Row],[firma préstamo]]</f>
        <v>354</v>
      </c>
      <c r="R63" s="31">
        <f ca="1">IF(T_Prestamos[[#This Row],[Situación]]="Cancelada","",DATEDIF(T_Prestamos[[#This Row],[firma préstamo]],TODAY(),"m"))</f>
        <v>11</v>
      </c>
      <c r="S63" s="25">
        <f>IF(T_Prestamos[[#This Row],[Situación]]="Cancelados",0,IF(T_Prestamos[[#This Row],[Tipo préstamo]]="Americano",T_Prestamos[[#This Row],[Importe]],T_Prestamos[[#This Row],[Importe]]+CUMPRINC(G63/12,E63*12,F63,1,R63,0)))</f>
        <v>143990</v>
      </c>
      <c r="T63" s="25">
        <f>IF(T_Prestamos[[#This Row],[Situación]]="Cancelados",0,IF(T_Prestamos[[#This Row],[Tipo préstamo]]="Americano",T_Prestamos[[#This Row],[Pendiente]]*T_Prestamos[[#This Row],[% interés ordinario]],-CUMIPMT(G63/12,E63*12,F63,R63,R63+11,0)))</f>
        <v>15766.905000000001</v>
      </c>
      <c r="U63" s="42">
        <v>0.01</v>
      </c>
      <c r="V63" s="41">
        <f>T_Prestamos[[#This Row],[% apertura]]*T_Prestamos[[#This Row],[Importe]]</f>
        <v>1439.9</v>
      </c>
      <c r="W63" s="28"/>
      <c r="X63" s="28" t="s">
        <v>128</v>
      </c>
      <c r="Y63" s="41">
        <f ca="1">IF(T_Prestamos[[#This Row],[Situación]]="Activos",IF(T_Prestamos[[#This Row],[Tipo préstamo]]="Francés",DATEDIF(T_Prestamos[[#This Row],[firma préstamo]],DATE(YEAR(TODAY()),1,1),"m"),0),0)</f>
        <v>0</v>
      </c>
      <c r="Z63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15766.905000000001</v>
      </c>
      <c r="AA63" s="41">
        <f ca="1">IF(T_Prestamos[[#This Row],[firma préstamo]]&gt;DATE(YEAR(TODAY())-1,MONTH(TODAY()),DAY(TODAY())),T_Prestamos[[#This Row],[Importe]]*T_Prestamos[[#This Row],[% apertura]],0)</f>
        <v>1439.9</v>
      </c>
    </row>
    <row r="64" spans="2:27" x14ac:dyDescent="0.2">
      <c r="B64" s="44">
        <v>2062</v>
      </c>
      <c r="C64" s="28" t="s">
        <v>129</v>
      </c>
      <c r="D64" s="30">
        <v>45791</v>
      </c>
      <c r="E64" s="28">
        <v>5</v>
      </c>
      <c r="F64" s="31">
        <v>398880</v>
      </c>
      <c r="G64" s="32">
        <v>0.1095</v>
      </c>
      <c r="H64" s="23">
        <f>T_Prestamos[[#This Row],[% interés ordinario]]+3%</f>
        <v>0.13950000000000001</v>
      </c>
      <c r="I64" s="31">
        <v>1202665</v>
      </c>
      <c r="J64" s="23">
        <f>IF(T_Prestamos[[#This Row],[Garantía]]="","",T_Prestamos[[#This Row],[Pendiente]]/T_Prestamos[[#This Row],[Garantía]])</f>
        <v>0.33166343079743738</v>
      </c>
      <c r="K64" s="32" t="s">
        <v>95</v>
      </c>
      <c r="L64" s="28" t="s">
        <v>58</v>
      </c>
      <c r="M64" s="28" t="s">
        <v>98</v>
      </c>
      <c r="N64" s="28" t="s">
        <v>51</v>
      </c>
      <c r="O64" s="30"/>
      <c r="P64" s="41"/>
      <c r="Q64" s="31">
        <f ca="1">IF(T_Prestamos[[#This Row],[Situación]]="Cancelados",T_Prestamos[[#This Row],[Fecha cancelación]],TODAY())-T_Prestamos[[#This Row],[firma préstamo]]</f>
        <v>305</v>
      </c>
      <c r="R64" s="31">
        <f ca="1">IF(T_Prestamos[[#This Row],[Situación]]="Cancelada","",DATEDIF(T_Prestamos[[#This Row],[firma préstamo]],TODAY(),"m"))</f>
        <v>10</v>
      </c>
      <c r="S64" s="25">
        <f>IF(T_Prestamos[[#This Row],[Situación]]="Cancelados",0,IF(T_Prestamos[[#This Row],[Tipo préstamo]]="Americano",T_Prestamos[[#This Row],[Importe]],T_Prestamos[[#This Row],[Importe]]+CUMPRINC(G64/12,E64*12,F64,1,R64,0)))</f>
        <v>398880</v>
      </c>
      <c r="T64" s="25">
        <f>IF(T_Prestamos[[#This Row],[Situación]]="Cancelados",0,IF(T_Prestamos[[#This Row],[Tipo préstamo]]="Americano",T_Prestamos[[#This Row],[Pendiente]]*T_Prestamos[[#This Row],[% interés ordinario]],-CUMIPMT(G64/12,E64*12,F64,R64,R64+11,0)))</f>
        <v>43677.36</v>
      </c>
      <c r="U64" s="42">
        <v>0.01</v>
      </c>
      <c r="V64" s="41">
        <f>T_Prestamos[[#This Row],[% apertura]]*T_Prestamos[[#This Row],[Importe]]</f>
        <v>3988.8</v>
      </c>
      <c r="W64" s="28"/>
      <c r="X64" s="28" t="s">
        <v>126</v>
      </c>
      <c r="Y64" s="41">
        <f ca="1">IF(T_Prestamos[[#This Row],[Situación]]="Activos",IF(T_Prestamos[[#This Row],[Tipo préstamo]]="Francés",DATEDIF(T_Prestamos[[#This Row],[firma préstamo]],DATE(YEAR(TODAY()),1,1),"m"),0),0)</f>
        <v>0</v>
      </c>
      <c r="Z64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43677.36</v>
      </c>
      <c r="AA64" s="41">
        <f ca="1">IF(T_Prestamos[[#This Row],[firma préstamo]]&gt;DATE(YEAR(TODAY())-1,MONTH(TODAY()),DAY(TODAY())),T_Prestamos[[#This Row],[Importe]]*T_Prestamos[[#This Row],[% apertura]],0)</f>
        <v>3988.8</v>
      </c>
    </row>
    <row r="65" spans="2:27" x14ac:dyDescent="0.2">
      <c r="B65" s="44">
        <v>2063</v>
      </c>
      <c r="C65" s="28" t="s">
        <v>130</v>
      </c>
      <c r="D65" s="30">
        <v>45853</v>
      </c>
      <c r="E65" s="28">
        <v>5</v>
      </c>
      <c r="F65" s="31">
        <v>167150</v>
      </c>
      <c r="G65" s="32">
        <v>0.115</v>
      </c>
      <c r="H65" s="23">
        <f>T_Prestamos[[#This Row],[% interés ordinario]]+3%</f>
        <v>0.14500000000000002</v>
      </c>
      <c r="I65" s="31">
        <v>2106785</v>
      </c>
      <c r="J65" s="23">
        <f>IF(T_Prestamos[[#This Row],[Garantía]]="","",T_Prestamos[[#This Row],[Pendiente]]/T_Prestamos[[#This Row],[Garantía]])</f>
        <v>7.9338897894184746E-2</v>
      </c>
      <c r="K65" s="32" t="s">
        <v>95</v>
      </c>
      <c r="L65" s="28" t="s">
        <v>58</v>
      </c>
      <c r="M65" s="28" t="s">
        <v>131</v>
      </c>
      <c r="N65" s="28" t="s">
        <v>51</v>
      </c>
      <c r="O65" s="30"/>
      <c r="P65" s="41"/>
      <c r="Q65" s="31">
        <f ca="1">IF(T_Prestamos[[#This Row],[Situación]]="Cancelados",T_Prestamos[[#This Row],[Fecha cancelación]],TODAY())-T_Prestamos[[#This Row],[firma préstamo]]</f>
        <v>243</v>
      </c>
      <c r="R65" s="31">
        <f ca="1">IF(T_Prestamos[[#This Row],[Situación]]="Cancelada","",DATEDIF(T_Prestamos[[#This Row],[firma préstamo]],TODAY(),"m"))</f>
        <v>8</v>
      </c>
      <c r="S65" s="25">
        <f>IF(T_Prestamos[[#This Row],[Situación]]="Cancelados",0,IF(T_Prestamos[[#This Row],[Tipo préstamo]]="Americano",T_Prestamos[[#This Row],[Importe]],T_Prestamos[[#This Row],[Importe]]+CUMPRINC(G65/12,E65*12,F65,1,R65,0)))</f>
        <v>167150</v>
      </c>
      <c r="T65" s="25">
        <f>IF(T_Prestamos[[#This Row],[Situación]]="Cancelados",0,IF(T_Prestamos[[#This Row],[Tipo préstamo]]="Americano",T_Prestamos[[#This Row],[Pendiente]]*T_Prestamos[[#This Row],[% interés ordinario]],-CUMIPMT(G65/12,E65*12,F65,R65,R65+11,0)))</f>
        <v>19222.25</v>
      </c>
      <c r="U65" s="42">
        <v>0.01</v>
      </c>
      <c r="V65" s="41">
        <f>T_Prestamos[[#This Row],[% apertura]]*T_Prestamos[[#This Row],[Importe]]</f>
        <v>1671.5</v>
      </c>
      <c r="W65" s="28"/>
      <c r="X65" s="28" t="s">
        <v>132</v>
      </c>
      <c r="Y65" s="41">
        <f ca="1">IF(T_Prestamos[[#This Row],[Situación]]="Activos",IF(T_Prestamos[[#This Row],[Tipo préstamo]]="Francés",DATEDIF(T_Prestamos[[#This Row],[firma préstamo]],DATE(YEAR(TODAY()),1,1),"m"),0),0)</f>
        <v>0</v>
      </c>
      <c r="Z65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19222.25</v>
      </c>
      <c r="AA65" s="41">
        <f ca="1">IF(T_Prestamos[[#This Row],[firma préstamo]]&gt;DATE(YEAR(TODAY())-1,MONTH(TODAY()),DAY(TODAY())),T_Prestamos[[#This Row],[Importe]]*T_Prestamos[[#This Row],[% apertura]],0)</f>
        <v>1671.5</v>
      </c>
    </row>
    <row r="66" spans="2:27" x14ac:dyDescent="0.2">
      <c r="B66" s="44">
        <v>2064</v>
      </c>
      <c r="C66" s="28" t="s">
        <v>133</v>
      </c>
      <c r="D66" s="30">
        <v>45860</v>
      </c>
      <c r="E66" s="28">
        <v>10</v>
      </c>
      <c r="F66" s="31">
        <v>162220</v>
      </c>
      <c r="G66" s="32">
        <v>0.115</v>
      </c>
      <c r="H66" s="23">
        <f>T_Prestamos[[#This Row],[% interés ordinario]]+3%</f>
        <v>0.14500000000000002</v>
      </c>
      <c r="I66" s="31">
        <v>427170</v>
      </c>
      <c r="J66" s="23">
        <f>IF(T_Prestamos[[#This Row],[Garantía]]="","",T_Prestamos[[#This Row],[Pendiente]]/T_Prestamos[[#This Row],[Garantía]])</f>
        <v>0.3797551326169909</v>
      </c>
      <c r="K66" s="32" t="s">
        <v>95</v>
      </c>
      <c r="L66" s="28" t="s">
        <v>58</v>
      </c>
      <c r="M66" s="28" t="s">
        <v>98</v>
      </c>
      <c r="N66" s="28" t="s">
        <v>51</v>
      </c>
      <c r="O66" s="30"/>
      <c r="P66" s="41"/>
      <c r="Q66" s="31">
        <f ca="1">IF(T_Prestamos[[#This Row],[Situación]]="Cancelados",T_Prestamos[[#This Row],[Fecha cancelación]],TODAY())-T_Prestamos[[#This Row],[firma préstamo]]</f>
        <v>236</v>
      </c>
      <c r="R66" s="31">
        <f ca="1">IF(T_Prestamos[[#This Row],[Situación]]="Cancelada","",DATEDIF(T_Prestamos[[#This Row],[firma préstamo]],TODAY(),"m"))</f>
        <v>7</v>
      </c>
      <c r="S66" s="25">
        <f>IF(T_Prestamos[[#This Row],[Situación]]="Cancelados",0,IF(T_Prestamos[[#This Row],[Tipo préstamo]]="Americano",T_Prestamos[[#This Row],[Importe]],T_Prestamos[[#This Row],[Importe]]+CUMPRINC(G66/12,E66*12,F66,1,R66,0)))</f>
        <v>162220</v>
      </c>
      <c r="T66" s="25">
        <f>IF(T_Prestamos[[#This Row],[Situación]]="Cancelados",0,IF(T_Prestamos[[#This Row],[Tipo préstamo]]="Americano",T_Prestamos[[#This Row],[Pendiente]]*T_Prestamos[[#This Row],[% interés ordinario]],-CUMIPMT(G66/12,E66*12,F66,R66,R66+11,0)))</f>
        <v>18655.3</v>
      </c>
      <c r="U66" s="42">
        <v>0.01</v>
      </c>
      <c r="V66" s="41">
        <f>T_Prestamos[[#This Row],[% apertura]]*T_Prestamos[[#This Row],[Importe]]</f>
        <v>1622.2</v>
      </c>
      <c r="W66" s="28"/>
      <c r="X66" s="28" t="s">
        <v>99</v>
      </c>
      <c r="Y66" s="41">
        <f ca="1">IF(T_Prestamos[[#This Row],[Situación]]="Activos",IF(T_Prestamos[[#This Row],[Tipo préstamo]]="Francés",DATEDIF(T_Prestamos[[#This Row],[firma préstamo]],DATE(YEAR(TODAY()),1,1),"m"),0),0)</f>
        <v>0</v>
      </c>
      <c r="Z66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18655.3</v>
      </c>
      <c r="AA66" s="41">
        <f ca="1">IF(T_Prestamos[[#This Row],[firma préstamo]]&gt;DATE(YEAR(TODAY())-1,MONTH(TODAY()),DAY(TODAY())),T_Prestamos[[#This Row],[Importe]]*T_Prestamos[[#This Row],[% apertura]],0)</f>
        <v>1622.2</v>
      </c>
    </row>
    <row r="67" spans="2:27" x14ac:dyDescent="0.2">
      <c r="B67" s="44">
        <v>2065</v>
      </c>
      <c r="C67" s="28" t="s">
        <v>134</v>
      </c>
      <c r="D67" s="30">
        <v>45961</v>
      </c>
      <c r="E67" s="28">
        <v>5</v>
      </c>
      <c r="F67" s="31">
        <v>139760</v>
      </c>
      <c r="G67" s="32">
        <v>0.115</v>
      </c>
      <c r="H67" s="23">
        <f>T_Prestamos[[#This Row],[% interés ordinario]]+3%</f>
        <v>0.14500000000000002</v>
      </c>
      <c r="I67" s="31">
        <v>350766</v>
      </c>
      <c r="J67" s="23">
        <f>IF(T_Prestamos[[#This Row],[Garantía]]="","",T_Prestamos[[#This Row],[Pendiente]]/T_Prestamos[[#This Row],[Garantía]])</f>
        <v>0.39844226635420765</v>
      </c>
      <c r="K67" s="32" t="s">
        <v>95</v>
      </c>
      <c r="L67" s="28" t="s">
        <v>58</v>
      </c>
      <c r="M67" s="28" t="s">
        <v>98</v>
      </c>
      <c r="N67" s="28" t="s">
        <v>51</v>
      </c>
      <c r="O67" s="30"/>
      <c r="P67" s="41"/>
      <c r="Q67" s="31">
        <f ca="1">IF(T_Prestamos[[#This Row],[Situación]]="Cancelados",T_Prestamos[[#This Row],[Fecha cancelación]],TODAY())-T_Prestamos[[#This Row],[firma préstamo]]</f>
        <v>135</v>
      </c>
      <c r="R67" s="31">
        <f ca="1">IF(T_Prestamos[[#This Row],[Situación]]="Cancelada","",DATEDIF(T_Prestamos[[#This Row],[firma préstamo]],TODAY(),"m"))</f>
        <v>4</v>
      </c>
      <c r="S67" s="25">
        <f>IF(T_Prestamos[[#This Row],[Situación]]="Cancelados",0,IF(T_Prestamos[[#This Row],[Tipo préstamo]]="Americano",T_Prestamos[[#This Row],[Importe]],T_Prestamos[[#This Row],[Importe]]+CUMPRINC(G67/12,E67*12,F67,1,R67,0)))</f>
        <v>139760</v>
      </c>
      <c r="T67" s="25">
        <f>IF(T_Prestamos[[#This Row],[Situación]]="Cancelados",0,IF(T_Prestamos[[#This Row],[Tipo préstamo]]="Americano",T_Prestamos[[#This Row],[Pendiente]]*T_Prestamos[[#This Row],[% interés ordinario]],-CUMIPMT(G67/12,E67*12,F67,R67,R67+11,0)))</f>
        <v>16072.400000000001</v>
      </c>
      <c r="U67" s="33">
        <v>0.02</v>
      </c>
      <c r="V67" s="41">
        <f>T_Prestamos[[#This Row],[% apertura]]*T_Prestamos[[#This Row],[Importe]]</f>
        <v>2795.2000000000003</v>
      </c>
      <c r="W67" s="28"/>
      <c r="X67" s="28" t="s">
        <v>126</v>
      </c>
      <c r="Y67" s="41">
        <f ca="1">IF(T_Prestamos[[#This Row],[Situación]]="Activos",IF(T_Prestamos[[#This Row],[Tipo préstamo]]="Francés",DATEDIF(T_Prestamos[[#This Row],[firma préstamo]],DATE(YEAR(TODAY()),1,1),"m"),0),0)</f>
        <v>0</v>
      </c>
      <c r="Z67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16072.400000000001</v>
      </c>
      <c r="AA67" s="41">
        <f ca="1">IF(T_Prestamos[[#This Row],[firma préstamo]]&gt;DATE(YEAR(TODAY())-1,MONTH(TODAY()),DAY(TODAY())),T_Prestamos[[#This Row],[Importe]]*T_Prestamos[[#This Row],[% apertura]],0)</f>
        <v>2795.2000000000003</v>
      </c>
    </row>
    <row r="68" spans="2:27" x14ac:dyDescent="0.2">
      <c r="B68" s="44">
        <v>2066</v>
      </c>
      <c r="C68" s="28" t="s">
        <v>135</v>
      </c>
      <c r="D68" s="30">
        <v>46001</v>
      </c>
      <c r="E68" s="28">
        <v>3</v>
      </c>
      <c r="F68" s="31">
        <v>176950</v>
      </c>
      <c r="G68" s="32">
        <v>0.11</v>
      </c>
      <c r="H68" s="43">
        <f>T_Prestamos[[#This Row],[% interés ordinario]]+3%</f>
        <v>0.14000000000000001</v>
      </c>
      <c r="I68" s="31">
        <v>495721</v>
      </c>
      <c r="J68" s="23">
        <f>IF(T_Prestamos[[#This Row],[Garantía]]="","",T_Prestamos[[#This Row],[Pendiente]]/T_Prestamos[[#This Row],[Garantía]])</f>
        <v>0.35695481934394546</v>
      </c>
      <c r="K68" s="32" t="s">
        <v>95</v>
      </c>
      <c r="L68" s="28" t="s">
        <v>58</v>
      </c>
      <c r="M68" s="28" t="s">
        <v>136</v>
      </c>
      <c r="N68" s="28" t="s">
        <v>51</v>
      </c>
      <c r="O68" s="30"/>
      <c r="P68" s="41"/>
      <c r="Q68" s="31">
        <f ca="1">IF(T_Prestamos[[#This Row],[Situación]]="Cancelados",T_Prestamos[[#This Row],[Fecha cancelación]],TODAY())-T_Prestamos[[#This Row],[firma préstamo]]</f>
        <v>95</v>
      </c>
      <c r="R68" s="31">
        <f ca="1">IF(T_Prestamos[[#This Row],[Situación]]="Cancelada","",DATEDIF(T_Prestamos[[#This Row],[firma préstamo]],TODAY(),"m"))</f>
        <v>3</v>
      </c>
      <c r="S68" s="25">
        <f>IF(T_Prestamos[[#This Row],[Situación]]="Cancelados",0,IF(T_Prestamos[[#This Row],[Tipo préstamo]]="Americano",T_Prestamos[[#This Row],[Importe]],T_Prestamos[[#This Row],[Importe]]+CUMPRINC(G68/12,E68*12,F68,1,R68,0)))</f>
        <v>176950</v>
      </c>
      <c r="T68" s="25">
        <f>IF(T_Prestamos[[#This Row],[Situación]]="Cancelados",0,IF(T_Prestamos[[#This Row],[Tipo préstamo]]="Americano",T_Prestamos[[#This Row],[Pendiente]]*T_Prestamos[[#This Row],[% interés ordinario]],-CUMIPMT(G68/12,E68*12,F68,R68,R68+11,0)))</f>
        <v>19464.5</v>
      </c>
      <c r="U68" s="33">
        <v>1.7500000000000002E-2</v>
      </c>
      <c r="V68" s="41">
        <f>T_Prestamos[[#This Row],[% apertura]]*T_Prestamos[[#This Row],[Importe]]</f>
        <v>3096.6250000000005</v>
      </c>
      <c r="W68" s="28"/>
      <c r="X68" s="28" t="s">
        <v>137</v>
      </c>
      <c r="Y68" s="41">
        <f ca="1">IF(T_Prestamos[[#This Row],[Situación]]="Activos",IF(T_Prestamos[[#This Row],[Tipo préstamo]]="Francés",DATEDIF(T_Prestamos[[#This Row],[firma préstamo]],DATE(YEAR(TODAY()),1,1),"m"),0),0)</f>
        <v>0</v>
      </c>
      <c r="Z68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19464.5</v>
      </c>
      <c r="AA68" s="41">
        <f ca="1">IF(T_Prestamos[[#This Row],[firma préstamo]]&gt;DATE(YEAR(TODAY())-1,MONTH(TODAY()),DAY(TODAY())),T_Prestamos[[#This Row],[Importe]]*T_Prestamos[[#This Row],[% apertura]],0)</f>
        <v>3096.6250000000005</v>
      </c>
    </row>
    <row r="69" spans="2:27" x14ac:dyDescent="0.2">
      <c r="B69" s="28">
        <v>2067</v>
      </c>
      <c r="C69" s="28" t="s">
        <v>138</v>
      </c>
      <c r="D69" s="30">
        <v>46009</v>
      </c>
      <c r="E69" s="28">
        <v>3</v>
      </c>
      <c r="F69" s="31">
        <v>549900</v>
      </c>
      <c r="G69" s="32">
        <v>0.115</v>
      </c>
      <c r="H69" s="43">
        <f>T_Prestamos[[#This Row],[% interés ordinario]]+3%</f>
        <v>0.14500000000000002</v>
      </c>
      <c r="I69" s="31">
        <v>2483971.8199999998</v>
      </c>
      <c r="J69" s="23">
        <f>IF(T_Prestamos[[#This Row],[Garantía]]="","",T_Prestamos[[#This Row],[Pendiente]]/T_Prestamos[[#This Row],[Garantía]])</f>
        <v>0.22137932305528329</v>
      </c>
      <c r="K69" s="32" t="s">
        <v>95</v>
      </c>
      <c r="L69" s="28" t="s">
        <v>58</v>
      </c>
      <c r="M69" s="28" t="s">
        <v>98</v>
      </c>
      <c r="N69" s="28" t="s">
        <v>51</v>
      </c>
      <c r="O69" s="30"/>
      <c r="P69" s="41"/>
      <c r="Q69" s="31">
        <f ca="1">IF(T_Prestamos[[#This Row],[Situación]]="Cancelados",T_Prestamos[[#This Row],[Fecha cancelación]],TODAY())-T_Prestamos[[#This Row],[firma préstamo]]</f>
        <v>87</v>
      </c>
      <c r="R69" s="31">
        <f ca="1">IF(T_Prestamos[[#This Row],[Situación]]="Cancelada","",DATEDIF(T_Prestamos[[#This Row],[firma préstamo]],TODAY(),"m"))</f>
        <v>2</v>
      </c>
      <c r="S69" s="25">
        <f>IF(T_Prestamos[[#This Row],[Situación]]="Cancelados",0,IF(T_Prestamos[[#This Row],[Tipo préstamo]]="Americano",T_Prestamos[[#This Row],[Importe]],T_Prestamos[[#This Row],[Importe]]+CUMPRINC(G69/12,E69*12,F69,1,R69,0)))</f>
        <v>549900</v>
      </c>
      <c r="T69" s="25">
        <f>IF(T_Prestamos[[#This Row],[Situación]]="Cancelados",0,IF(T_Prestamos[[#This Row],[Tipo préstamo]]="Americano",T_Prestamos[[#This Row],[Pendiente]]*T_Prestamos[[#This Row],[% interés ordinario]],-CUMIPMT(G69/12,E69*12,F69,R69,R69+11,0)))</f>
        <v>63238.5</v>
      </c>
      <c r="U69" s="33">
        <v>0.02</v>
      </c>
      <c r="V69" s="41">
        <f>T_Prestamos[[#This Row],[% apertura]]*T_Prestamos[[#This Row],[Importe]]</f>
        <v>10998</v>
      </c>
      <c r="W69" s="28"/>
      <c r="X69" s="28" t="s">
        <v>139</v>
      </c>
      <c r="Y69" s="41">
        <f ca="1">IF(T_Prestamos[[#This Row],[Situación]]="Activos",IF(T_Prestamos[[#This Row],[Tipo préstamo]]="Francés",DATEDIF(T_Prestamos[[#This Row],[firma préstamo]],DATE(YEAR(TODAY()),1,1),"m"),0),0)</f>
        <v>0</v>
      </c>
      <c r="Z69" s="58">
        <f>IF(T_Prestamos[[#This Row],[Situación]]="Activos",IF(T_Prestamos[[#This Row],[Tipo préstamo]]="Americano",T_Prestamos[[#This Row],[Importe]]*T_Prestamos[[#This Row],[% interés ordinario]],-CUMIPMT(T_Prestamos[[#This Row],[% interés ordinario]]/12,T_Prestamos[[#This Row],[Años]]*12,T_Prestamos[[#This Row],[Importe]],T_Prestamos[[#This Row],[Primera cuota año]],T_Prestamos[[#This Row],[Primera cuota año]]+11,0)),0)</f>
        <v>63238.5</v>
      </c>
      <c r="AA69" s="41">
        <f ca="1">IF(T_Prestamos[[#This Row],[firma préstamo]]&gt;DATE(YEAR(TODAY())-1,MONTH(TODAY()),DAY(TODAY())),T_Prestamos[[#This Row],[Importe]]*T_Prestamos[[#This Row],[% apertura]],0)</f>
        <v>10998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955E-7BF0-9F42-95C7-0BCB52A4BA8B}">
  <sheetPr>
    <tabColor theme="8" tint="0.79998168889431442"/>
  </sheetPr>
  <dimension ref="B2:C8"/>
  <sheetViews>
    <sheetView showGridLines="0" workbookViewId="0">
      <selection activeCell="E46" sqref="E46"/>
    </sheetView>
  </sheetViews>
  <sheetFormatPr baseColWidth="10" defaultRowHeight="16" x14ac:dyDescent="0.2"/>
  <cols>
    <col min="1" max="1" width="4.33203125" customWidth="1"/>
    <col min="3" max="3" width="42.83203125" bestFit="1" customWidth="1"/>
  </cols>
  <sheetData>
    <row r="2" spans="2:3" x14ac:dyDescent="0.2">
      <c r="B2" t="s">
        <v>147</v>
      </c>
      <c r="C2" t="s">
        <v>146</v>
      </c>
    </row>
    <row r="3" spans="2:3" x14ac:dyDescent="0.2">
      <c r="B3" s="28">
        <v>2201</v>
      </c>
      <c r="C3" s="28" t="s">
        <v>145</v>
      </c>
    </row>
    <row r="4" spans="2:3" x14ac:dyDescent="0.2">
      <c r="B4" s="28">
        <v>2202</v>
      </c>
      <c r="C4" s="28" t="s">
        <v>144</v>
      </c>
    </row>
    <row r="5" spans="2:3" x14ac:dyDescent="0.2">
      <c r="B5" s="28">
        <v>2203</v>
      </c>
      <c r="C5" s="28" t="s">
        <v>143</v>
      </c>
    </row>
    <row r="6" spans="2:3" x14ac:dyDescent="0.2">
      <c r="B6" s="28">
        <v>2204</v>
      </c>
      <c r="C6" s="28" t="s">
        <v>142</v>
      </c>
    </row>
    <row r="7" spans="2:3" x14ac:dyDescent="0.2">
      <c r="B7" s="28">
        <v>2205</v>
      </c>
      <c r="C7" s="28" t="s">
        <v>141</v>
      </c>
    </row>
    <row r="8" spans="2:3" x14ac:dyDescent="0.2">
      <c r="B8" s="28">
        <v>2206</v>
      </c>
      <c r="C8" s="28" t="s">
        <v>140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C743D-0112-9943-8AE7-3273EBA934DD}">
  <sheetPr>
    <tabColor theme="4" tint="0.79998168889431442"/>
  </sheetPr>
  <dimension ref="B2:W41"/>
  <sheetViews>
    <sheetView showGridLines="0" workbookViewId="0">
      <selection activeCell="P4" sqref="P4"/>
    </sheetView>
  </sheetViews>
  <sheetFormatPr baseColWidth="10" defaultRowHeight="16" x14ac:dyDescent="0.2"/>
  <cols>
    <col min="1" max="1" width="4.6640625" customWidth="1"/>
    <col min="2" max="2" width="11.83203125" customWidth="1"/>
    <col min="3" max="3" width="29.1640625" customWidth="1"/>
    <col min="4" max="4" width="16.33203125" customWidth="1"/>
    <col min="5" max="5" width="11.1640625" customWidth="1"/>
    <col min="6" max="6" width="23.33203125" customWidth="1"/>
    <col min="19" max="19" width="11.5" bestFit="1" customWidth="1"/>
  </cols>
  <sheetData>
    <row r="2" spans="2:16" ht="19" x14ac:dyDescent="0.25">
      <c r="B2" s="14" t="s">
        <v>148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2:16" x14ac:dyDescent="0.2">
      <c r="B3" s="5" t="s">
        <v>149</v>
      </c>
      <c r="C3" s="5" t="s">
        <v>42</v>
      </c>
      <c r="D3" s="5" t="s">
        <v>150</v>
      </c>
      <c r="E3" s="5" t="s">
        <v>147</v>
      </c>
      <c r="F3" s="5" t="s">
        <v>151</v>
      </c>
      <c r="G3" s="5" t="s">
        <v>25</v>
      </c>
      <c r="H3" s="5" t="s">
        <v>1</v>
      </c>
      <c r="I3" s="5" t="s">
        <v>152</v>
      </c>
      <c r="J3" s="5" t="s">
        <v>33</v>
      </c>
      <c r="K3" s="5" t="s">
        <v>162</v>
      </c>
      <c r="L3" s="5" t="s">
        <v>161</v>
      </c>
      <c r="M3" s="5" t="s">
        <v>164</v>
      </c>
      <c r="N3" s="5" t="s">
        <v>40</v>
      </c>
      <c r="O3" s="5" t="s">
        <v>179</v>
      </c>
      <c r="P3" s="5" t="s">
        <v>28</v>
      </c>
    </row>
    <row r="4" spans="2:16" x14ac:dyDescent="0.2">
      <c r="B4" s="44">
        <v>2042</v>
      </c>
      <c r="C4" s="45" t="str">
        <f>VLOOKUP(T_Participaciones[[#This Row],[CC Prestataria]],T_Prestamos[#Data],2)</f>
        <v>Parla 2</v>
      </c>
      <c r="D4" s="46">
        <f>SUMIFS(T_Prestamos[Importe],T_Prestamos[Centro coste],T_Participaciones[[#This Row],[CC Prestataria]])</f>
        <v>107425</v>
      </c>
      <c r="E4" s="44">
        <v>2201</v>
      </c>
      <c r="F4" s="45" t="str">
        <f>VLOOKUP(T_Participaciones[[#This Row],[CC CCPP]],T_Participes[#Data],2)</f>
        <v>EXPORTEN</v>
      </c>
      <c r="G4" s="31">
        <v>30000</v>
      </c>
      <c r="H4" s="47">
        <f>T_Participaciones[[#This Row],[Importe]]/T_Participaciones[[#This Row],[Importe préstamo]]</f>
        <v>0.27926460321154295</v>
      </c>
      <c r="I4" s="30">
        <v>45448</v>
      </c>
      <c r="J4" s="30" t="s">
        <v>153</v>
      </c>
      <c r="K4" s="4">
        <v>0.02</v>
      </c>
      <c r="L4" s="28">
        <f>T_Participaciones[[#This Row],[% Gestión]]*T_Participaciones[[#This Row],[Importe]]</f>
        <v>600</v>
      </c>
      <c r="M4" s="41">
        <f>SUMIFS(T_Prestamos[Int. Anual],T_Prestamos[Centro coste],T_Participaciones[[#This Row],[CC Prestataria]])*T_Participaciones[[#This Row],[Participación]]</f>
        <v>3285.0000000000005</v>
      </c>
      <c r="N4" s="41">
        <v>0</v>
      </c>
      <c r="O4" s="41">
        <f ca="1">IF(T_Participaciones[[#This Row],[Fecha firma]]&gt;DATE(YEAR(TODAY())-1,MONTH(TODAY()),DAY(TODAY())),T_Participaciones[[#This Row],[Importe]]*T_Participaciones[[#This Row],[Apertura]],0)</f>
        <v>0</v>
      </c>
      <c r="P4" s="41">
        <f>VLOOKUP(T_Participaciones[[#This Row],[CC Prestataria]],T_Prestamos[],'Tabla Préstamos'!$I$2,FALSE)*T_Participaciones[[#This Row],[Participación]]*IF(T_Participaciones[[#This Row],[Situación]]="Cancelada",0,1)</f>
        <v>66145.357225971617</v>
      </c>
    </row>
    <row r="5" spans="2:16" x14ac:dyDescent="0.2">
      <c r="B5" s="48">
        <v>2047</v>
      </c>
      <c r="C5" s="49" t="str">
        <f>VLOOKUP(T_Participaciones[[#This Row],[CC Prestataria]],T_Prestamos[#Data],2)</f>
        <v xml:space="preserve">Jerez </v>
      </c>
      <c r="D5" s="50">
        <f>SUMIFS(T_Prestamos[Importe],T_Prestamos[Centro coste],T_Participaciones[[#This Row],[CC Prestataria]])</f>
        <v>124595</v>
      </c>
      <c r="E5" s="48">
        <v>2201</v>
      </c>
      <c r="F5" s="49" t="str">
        <f>VLOOKUP(T_Participaciones[[#This Row],[CC CCPP]],T_Participes[#Data],2)</f>
        <v>EXPORTEN</v>
      </c>
      <c r="G5" s="24">
        <v>35000</v>
      </c>
      <c r="H5" s="47">
        <f>T_Participaciones[[#This Row],[Importe]]/T_Participaciones[[#This Row],[Importe préstamo]]</f>
        <v>0.28091014888237892</v>
      </c>
      <c r="I5" s="51">
        <v>45448</v>
      </c>
      <c r="J5" s="51" t="s">
        <v>154</v>
      </c>
      <c r="K5" s="60">
        <v>0.02</v>
      </c>
      <c r="L5" s="28">
        <f>T_Participaciones[[#This Row],[% Gestión]]*T_Participaciones[[#This Row],[Importe]]</f>
        <v>700</v>
      </c>
      <c r="M5" s="41">
        <f>SUMIFS(T_Prestamos[Int. Anual],T_Prestamos[Centro coste],T_Participaciones[[#This Row],[CC Prestataria]])*T_Participaciones[[#This Row],[Participación]]</f>
        <v>0</v>
      </c>
      <c r="N5" s="41">
        <v>0</v>
      </c>
      <c r="O5" s="41">
        <f ca="1">IF(T_Participaciones[[#This Row],[Fecha firma]]&gt;DATE(YEAR(TODAY())-1,MONTH(TODAY()),DAY(TODAY())),T_Participaciones[[#This Row],[Importe]]*T_Participaciones[[#This Row],[Apertura]],0)</f>
        <v>0</v>
      </c>
      <c r="P5" s="41">
        <f>VLOOKUP(T_Participaciones[[#This Row],[CC Prestataria]],T_Prestamos[],'Tabla Préstamos'!$I$2,FALSE)*T_Participaciones[[#This Row],[Participación]]*IF(T_Participaciones[[#This Row],[Situación]]="Cancelada",0,1)</f>
        <v>0</v>
      </c>
    </row>
    <row r="6" spans="2:16" x14ac:dyDescent="0.2">
      <c r="B6" s="52">
        <v>2053</v>
      </c>
      <c r="C6" s="53" t="str">
        <f>VLOOKUP(T_Participaciones[[#This Row],[CC Prestataria]],T_Prestamos[#Data],2)</f>
        <v>Oropesa</v>
      </c>
      <c r="D6" s="54">
        <f>SUMIFS(T_Prestamos[Importe],T_Prestamos[Centro coste],T_Participaciones[[#This Row],[CC Prestataria]])</f>
        <v>59745</v>
      </c>
      <c r="E6" s="52">
        <v>2201</v>
      </c>
      <c r="F6" s="53" t="str">
        <f>VLOOKUP(T_Participaciones[[#This Row],[CC CCPP]],T_Participes[#Data],2)</f>
        <v>EXPORTEN</v>
      </c>
      <c r="G6" s="21">
        <v>30000</v>
      </c>
      <c r="H6" s="47">
        <f>T_Participaciones[[#This Row],[Importe]]/T_Participaciones[[#This Row],[Importe préstamo]]</f>
        <v>0.50213406979663566</v>
      </c>
      <c r="I6" s="20">
        <v>45448</v>
      </c>
      <c r="J6" s="20" t="s">
        <v>154</v>
      </c>
      <c r="K6" s="60">
        <v>0.02</v>
      </c>
      <c r="L6" s="28">
        <f>T_Participaciones[[#This Row],[% Gestión]]*T_Participaciones[[#This Row],[Importe]]</f>
        <v>600</v>
      </c>
      <c r="M6" s="41">
        <f>SUMIFS(T_Prestamos[Int. Anual],T_Prestamos[Centro coste],T_Participaciones[[#This Row],[CC Prestataria]])*T_Participaciones[[#This Row],[Participación]]</f>
        <v>0</v>
      </c>
      <c r="N6" s="41">
        <v>0</v>
      </c>
      <c r="O6" s="41">
        <f ca="1">IF(T_Participaciones[[#This Row],[Fecha firma]]&gt;DATE(YEAR(TODAY())-1,MONTH(TODAY()),DAY(TODAY())),T_Participaciones[[#This Row],[Importe]]*T_Participaciones[[#This Row],[Apertura]],0)</f>
        <v>0</v>
      </c>
      <c r="P6" s="41">
        <f>VLOOKUP(T_Participaciones[[#This Row],[CC Prestataria]],T_Prestamos[],'Tabla Préstamos'!$I$2,FALSE)*T_Participaciones[[#This Row],[Participación]]*IF(T_Participaciones[[#This Row],[Situación]]="Cancelada",0,1)</f>
        <v>0</v>
      </c>
    </row>
    <row r="7" spans="2:16" x14ac:dyDescent="0.2">
      <c r="B7" s="48">
        <v>2054</v>
      </c>
      <c r="C7" s="49" t="str">
        <f>VLOOKUP(T_Participaciones[[#This Row],[CC Prestataria]],T_Prestamos[#Data],2)</f>
        <v>Sierra Madrid</v>
      </c>
      <c r="D7" s="50">
        <f>SUMIFS(T_Prestamos[Importe],T_Prestamos[Centro coste],T_Participaciones[[#This Row],[CC Prestataria]])</f>
        <v>118495</v>
      </c>
      <c r="E7" s="48">
        <v>2201</v>
      </c>
      <c r="F7" s="49" t="str">
        <f>VLOOKUP(T_Participaciones[[#This Row],[CC CCPP]],T_Participes[#Data],2)</f>
        <v>EXPORTEN</v>
      </c>
      <c r="G7" s="24">
        <v>35000</v>
      </c>
      <c r="H7" s="47">
        <f>T_Participaciones[[#This Row],[Importe]]/T_Participaciones[[#This Row],[Importe préstamo]]</f>
        <v>0.29537111270517741</v>
      </c>
      <c r="I7" s="51">
        <v>45448</v>
      </c>
      <c r="J7" s="51" t="s">
        <v>154</v>
      </c>
      <c r="K7" s="60">
        <v>0.02</v>
      </c>
      <c r="L7" s="28">
        <f>T_Participaciones[[#This Row],[% Gestión]]*T_Participaciones[[#This Row],[Importe]]</f>
        <v>700</v>
      </c>
      <c r="M7" s="41">
        <f>SUMIFS(T_Prestamos[Int. Anual],T_Prestamos[Centro coste],T_Participaciones[[#This Row],[CC Prestataria]])*T_Participaciones[[#This Row],[Participación]]</f>
        <v>0</v>
      </c>
      <c r="N7" s="41">
        <v>0</v>
      </c>
      <c r="O7" s="41">
        <f ca="1">IF(T_Participaciones[[#This Row],[Fecha firma]]&gt;DATE(YEAR(TODAY())-1,MONTH(TODAY()),DAY(TODAY())),T_Participaciones[[#This Row],[Importe]]*T_Participaciones[[#This Row],[Apertura]],0)</f>
        <v>0</v>
      </c>
      <c r="P7" s="41">
        <f>VLOOKUP(T_Participaciones[[#This Row],[CC Prestataria]],T_Prestamos[],'Tabla Préstamos'!$I$2,FALSE)*T_Participaciones[[#This Row],[Participación]]*IF(T_Participaciones[[#This Row],[Situación]]="Cancelada",0,1)</f>
        <v>0</v>
      </c>
    </row>
    <row r="8" spans="2:16" x14ac:dyDescent="0.2">
      <c r="B8" s="44">
        <v>2056</v>
      </c>
      <c r="C8" s="45" t="str">
        <f>VLOOKUP(T_Participaciones[[#This Row],[CC Prestataria]],T_Prestamos[#Data],2)</f>
        <v>Parla 3</v>
      </c>
      <c r="D8" s="46">
        <f>SUMIFS(T_Prestamos[Importe],T_Prestamos[Centro coste],T_Participaciones[[#This Row],[CC Prestataria]])</f>
        <v>160000</v>
      </c>
      <c r="E8" s="44">
        <v>2201</v>
      </c>
      <c r="F8" s="45" t="str">
        <f>VLOOKUP(T_Participaciones[[#This Row],[CC CCPP]],T_Participes[#Data],2)</f>
        <v>EXPORTEN</v>
      </c>
      <c r="G8" s="31">
        <v>30000</v>
      </c>
      <c r="H8" s="47">
        <f>T_Participaciones[[#This Row],[Importe]]/T_Participaciones[[#This Row],[Importe préstamo]]</f>
        <v>0.1875</v>
      </c>
      <c r="I8" s="30">
        <v>45470</v>
      </c>
      <c r="J8" s="30" t="s">
        <v>153</v>
      </c>
      <c r="K8" s="4">
        <v>0.02</v>
      </c>
      <c r="L8" s="28">
        <f>T_Participaciones[[#This Row],[% Gestión]]*T_Participaciones[[#This Row],[Importe]]</f>
        <v>600</v>
      </c>
      <c r="M8" s="41">
        <f>SUMIFS(T_Prestamos[Int. Anual],T_Prestamos[Centro coste],T_Participaciones[[#This Row],[CC Prestataria]])*T_Participaciones[[#This Row],[Participación]]</f>
        <v>3450</v>
      </c>
      <c r="N8" s="41">
        <v>0</v>
      </c>
      <c r="O8" s="41">
        <f ca="1">IF(T_Participaciones[[#This Row],[Fecha firma]]&gt;DATE(YEAR(TODAY())-1,MONTH(TODAY()),DAY(TODAY())),T_Participaciones[[#This Row],[Importe]]*T_Participaciones[[#This Row],[Apertura]],0)</f>
        <v>0</v>
      </c>
      <c r="P8" s="41">
        <f>VLOOKUP(T_Participaciones[[#This Row],[CC Prestataria]],T_Prestamos[],'Tabla Préstamos'!$I$2,FALSE)*T_Participaciones[[#This Row],[Participación]]*IF(T_Participaciones[[#This Row],[Situación]]="Cancelada",0,1)</f>
        <v>75119.8125</v>
      </c>
    </row>
    <row r="9" spans="2:16" x14ac:dyDescent="0.2">
      <c r="B9" s="44">
        <v>2057</v>
      </c>
      <c r="C9" s="45" t="str">
        <f>VLOOKUP(T_Participaciones[[#This Row],[CC Prestataria]],T_Prestamos[#Data],2)</f>
        <v>Blanes</v>
      </c>
      <c r="D9" s="46">
        <f>SUMIFS(T_Prestamos[Importe],T_Prestamos[Centro coste],T_Participaciones[[#This Row],[CC Prestataria]])</f>
        <v>114020</v>
      </c>
      <c r="E9" s="44">
        <v>2201</v>
      </c>
      <c r="F9" s="45" t="str">
        <f>VLOOKUP(T_Participaciones[[#This Row],[CC CCPP]],T_Participes[#Data],2)</f>
        <v>EXPORTEN</v>
      </c>
      <c r="G9" s="31">
        <v>55000</v>
      </c>
      <c r="H9" s="47">
        <f>T_Participaciones[[#This Row],[Importe]]/T_Participaciones[[#This Row],[Importe préstamo]]</f>
        <v>0.48237151376951409</v>
      </c>
      <c r="I9" s="30">
        <v>45561</v>
      </c>
      <c r="J9" s="30" t="s">
        <v>153</v>
      </c>
      <c r="K9" s="4">
        <v>0.02</v>
      </c>
      <c r="L9" s="28">
        <f>T_Participaciones[[#This Row],[% Gestión]]*T_Participaciones[[#This Row],[Importe]]</f>
        <v>1100</v>
      </c>
      <c r="M9" s="41">
        <f>SUMIFS(T_Prestamos[Int. Anual],T_Prestamos[Centro coste],T_Participaciones[[#This Row],[CC Prestataria]])*T_Participaciones[[#This Row],[Participación]]</f>
        <v>6022.5</v>
      </c>
      <c r="N9" s="41">
        <v>0</v>
      </c>
      <c r="O9" s="41">
        <f ca="1">IF(T_Participaciones[[#This Row],[Fecha firma]]&gt;DATE(YEAR(TODAY())-1,MONTH(TODAY()),DAY(TODAY())),T_Participaciones[[#This Row],[Importe]]*T_Participaciones[[#This Row],[Apertura]],0)</f>
        <v>0</v>
      </c>
      <c r="P9" s="41">
        <f>VLOOKUP(T_Participaciones[[#This Row],[CC Prestataria]],T_Prestamos[],'Tabla Préstamos'!$I$2,FALSE)*T_Participaciones[[#This Row],[Participación]]*IF(T_Participaciones[[#This Row],[Situación]]="Cancelada",0,1)</f>
        <v>158182.64339589546</v>
      </c>
    </row>
    <row r="10" spans="2:16" x14ac:dyDescent="0.2">
      <c r="B10" s="44">
        <v>2057</v>
      </c>
      <c r="C10" s="45" t="str">
        <f>VLOOKUP(T_Participaciones[[#This Row],[CC Prestataria]],T_Prestamos[#Data],2)</f>
        <v>Blanes</v>
      </c>
      <c r="D10" s="46">
        <f>SUMIFS(T_Prestamos[Importe],T_Prestamos[Centro coste],T_Participaciones[[#This Row],[CC Prestataria]])</f>
        <v>114020</v>
      </c>
      <c r="E10" s="44">
        <v>2202</v>
      </c>
      <c r="F10" s="45" t="str">
        <f>VLOOKUP(T_Participaciones[[#This Row],[CC CCPP]],T_Participes[#Data],2)</f>
        <v>Jaume Marcos Domenech</v>
      </c>
      <c r="G10" s="31">
        <v>12500</v>
      </c>
      <c r="H10" s="47">
        <f>T_Participaciones[[#This Row],[Importe]]/T_Participaciones[[#This Row],[Importe préstamo]]</f>
        <v>0.1096298894930714</v>
      </c>
      <c r="I10" s="30">
        <v>45593</v>
      </c>
      <c r="J10" s="30" t="s">
        <v>153</v>
      </c>
      <c r="K10" s="4">
        <v>0.02</v>
      </c>
      <c r="L10" s="28">
        <f>T_Participaciones[[#This Row],[% Gestión]]*T_Participaciones[[#This Row],[Importe]]</f>
        <v>250</v>
      </c>
      <c r="M10" s="41">
        <f>SUMIFS(T_Prestamos[Int. Anual],T_Prestamos[Centro coste],T_Participaciones[[#This Row],[CC Prestataria]])*T_Participaciones[[#This Row],[Participación]]</f>
        <v>1368.7500000000002</v>
      </c>
      <c r="N10" s="41">
        <v>0</v>
      </c>
      <c r="O10" s="41">
        <f ca="1">IF(T_Participaciones[[#This Row],[Fecha firma]]&gt;DATE(YEAR(TODAY())-1,MONTH(TODAY()),DAY(TODAY())),T_Participaciones[[#This Row],[Importe]]*T_Participaciones[[#This Row],[Apertura]],0)</f>
        <v>0</v>
      </c>
      <c r="P10" s="41">
        <f>VLOOKUP(T_Participaciones[[#This Row],[CC Prestataria]],T_Prestamos[],'Tabla Préstamos'!$I$2,FALSE)*T_Participaciones[[#This Row],[Participación]]*IF(T_Participaciones[[#This Row],[Situación]]="Cancelada",0,1)</f>
        <v>35950.600771794423</v>
      </c>
    </row>
    <row r="11" spans="2:16" x14ac:dyDescent="0.2">
      <c r="B11" s="52">
        <v>2047</v>
      </c>
      <c r="C11" s="53" t="str">
        <f>VLOOKUP(T_Participaciones[[#This Row],[CC Prestataria]],T_Prestamos[#Data],2)</f>
        <v xml:space="preserve">Jerez </v>
      </c>
      <c r="D11" s="54">
        <f>SUMIFS(T_Prestamos[Importe],T_Prestamos[Centro coste],T_Participaciones[[#This Row],[CC Prestataria]])</f>
        <v>124595</v>
      </c>
      <c r="E11" s="52">
        <v>2202</v>
      </c>
      <c r="F11" s="53" t="str">
        <f>VLOOKUP(T_Participaciones[[#This Row],[CC CCPP]],T_Participes[#Data],2)</f>
        <v>Jaume Marcos Domenech</v>
      </c>
      <c r="G11" s="21">
        <v>12500</v>
      </c>
      <c r="H11" s="47">
        <f>T_Participaciones[[#This Row],[Importe]]/T_Participaciones[[#This Row],[Importe préstamo]]</f>
        <v>0.10032505317227818</v>
      </c>
      <c r="I11" s="20">
        <v>45587</v>
      </c>
      <c r="J11" s="20" t="s">
        <v>154</v>
      </c>
      <c r="K11" s="60">
        <v>0.02</v>
      </c>
      <c r="L11" s="28">
        <f>T_Participaciones[[#This Row],[% Gestión]]*T_Participaciones[[#This Row],[Importe]]</f>
        <v>250</v>
      </c>
      <c r="M11" s="41">
        <f>SUMIFS(T_Prestamos[Int. Anual],T_Prestamos[Centro coste],T_Participaciones[[#This Row],[CC Prestataria]])*T_Participaciones[[#This Row],[Participación]]</f>
        <v>0</v>
      </c>
      <c r="N11" s="41">
        <v>0</v>
      </c>
      <c r="O11" s="41">
        <f ca="1">IF(T_Participaciones[[#This Row],[Fecha firma]]&gt;DATE(YEAR(TODAY())-1,MONTH(TODAY()),DAY(TODAY())),T_Participaciones[[#This Row],[Importe]]*T_Participaciones[[#This Row],[Apertura]],0)</f>
        <v>0</v>
      </c>
      <c r="P11" s="41">
        <f>VLOOKUP(T_Participaciones[[#This Row],[CC Prestataria]],T_Prestamos[],'Tabla Préstamos'!$I$2,FALSE)*T_Participaciones[[#This Row],[Participación]]*IF(T_Participaciones[[#This Row],[Situación]]="Cancelada",0,1)</f>
        <v>0</v>
      </c>
    </row>
    <row r="12" spans="2:16" x14ac:dyDescent="0.2">
      <c r="B12" s="52">
        <v>2053</v>
      </c>
      <c r="C12" s="53" t="str">
        <f>VLOOKUP(T_Participaciones[[#This Row],[CC Prestataria]],T_Prestamos[#Data],2)</f>
        <v>Oropesa</v>
      </c>
      <c r="D12" s="54">
        <f>SUMIFS(T_Prestamos[Importe],T_Prestamos[Centro coste],T_Participaciones[[#This Row],[CC Prestataria]])</f>
        <v>59745</v>
      </c>
      <c r="E12" s="52">
        <v>2202</v>
      </c>
      <c r="F12" s="53" t="str">
        <f>VLOOKUP(T_Participaciones[[#This Row],[CC CCPP]],T_Participes[#Data],2)</f>
        <v>Jaume Marcos Domenech</v>
      </c>
      <c r="G12" s="21">
        <v>12500</v>
      </c>
      <c r="H12" s="47">
        <f>T_Participaciones[[#This Row],[Importe]]/T_Participaciones[[#This Row],[Importe préstamo]]</f>
        <v>0.20922252908193154</v>
      </c>
      <c r="I12" s="20">
        <v>45587</v>
      </c>
      <c r="J12" s="20" t="s">
        <v>154</v>
      </c>
      <c r="K12" s="60">
        <v>0.02</v>
      </c>
      <c r="L12" s="28">
        <f>T_Participaciones[[#This Row],[% Gestión]]*T_Participaciones[[#This Row],[Importe]]</f>
        <v>250</v>
      </c>
      <c r="M12" s="41">
        <f>SUMIFS(T_Prestamos[Int. Anual],T_Prestamos[Centro coste],T_Participaciones[[#This Row],[CC Prestataria]])*T_Participaciones[[#This Row],[Participación]]</f>
        <v>0</v>
      </c>
      <c r="N12" s="41">
        <v>0</v>
      </c>
      <c r="O12" s="41">
        <f ca="1">IF(T_Participaciones[[#This Row],[Fecha firma]]&gt;DATE(YEAR(TODAY())-1,MONTH(TODAY()),DAY(TODAY())),T_Participaciones[[#This Row],[Importe]]*T_Participaciones[[#This Row],[Apertura]],0)</f>
        <v>0</v>
      </c>
      <c r="P12" s="41">
        <f>VLOOKUP(T_Participaciones[[#This Row],[CC Prestataria]],T_Prestamos[],'Tabla Préstamos'!$I$2,FALSE)*T_Participaciones[[#This Row],[Participación]]*IF(T_Participaciones[[#This Row],[Situación]]="Cancelada",0,1)</f>
        <v>0</v>
      </c>
    </row>
    <row r="13" spans="2:16" x14ac:dyDescent="0.2">
      <c r="B13" s="44">
        <v>2056</v>
      </c>
      <c r="C13" s="45" t="str">
        <f>VLOOKUP(T_Participaciones[[#This Row],[CC Prestataria]],T_Prestamos[#Data],2)</f>
        <v>Parla 3</v>
      </c>
      <c r="D13" s="46">
        <f>SUMIFS(T_Prestamos[Importe],T_Prestamos[Centro coste],T_Participaciones[[#This Row],[CC Prestataria]])</f>
        <v>160000</v>
      </c>
      <c r="E13" s="44">
        <v>2202</v>
      </c>
      <c r="F13" s="45" t="str">
        <f>VLOOKUP(T_Participaciones[[#This Row],[CC CCPP]],T_Participes[#Data],2)</f>
        <v>Jaume Marcos Domenech</v>
      </c>
      <c r="G13" s="31">
        <v>12500</v>
      </c>
      <c r="H13" s="47">
        <f>T_Participaciones[[#This Row],[Importe]]/T_Participaciones[[#This Row],[Importe préstamo]]</f>
        <v>7.8125E-2</v>
      </c>
      <c r="I13" s="30">
        <v>45587</v>
      </c>
      <c r="J13" s="30" t="s">
        <v>153</v>
      </c>
      <c r="K13" s="4">
        <v>0.02</v>
      </c>
      <c r="L13" s="28">
        <f>T_Participaciones[[#This Row],[% Gestión]]*T_Participaciones[[#This Row],[Importe]]</f>
        <v>250</v>
      </c>
      <c r="M13" s="41">
        <f>SUMIFS(T_Prestamos[Int. Anual],T_Prestamos[Centro coste],T_Participaciones[[#This Row],[CC Prestataria]])*T_Participaciones[[#This Row],[Participación]]</f>
        <v>1437.5</v>
      </c>
      <c r="N13" s="41">
        <v>0</v>
      </c>
      <c r="O13" s="41">
        <f ca="1">IF(T_Participaciones[[#This Row],[Fecha firma]]&gt;DATE(YEAR(TODAY())-1,MONTH(TODAY()),DAY(TODAY())),T_Participaciones[[#This Row],[Importe]]*T_Participaciones[[#This Row],[Apertura]],0)</f>
        <v>0</v>
      </c>
      <c r="P13" s="41">
        <f>VLOOKUP(T_Participaciones[[#This Row],[CC Prestataria]],T_Prestamos[],'Tabla Préstamos'!$I$2,FALSE)*T_Participaciones[[#This Row],[Participación]]*IF(T_Participaciones[[#This Row],[Situación]]="Cancelada",0,1)</f>
        <v>31299.921875</v>
      </c>
    </row>
    <row r="14" spans="2:16" x14ac:dyDescent="0.2">
      <c r="B14" s="44">
        <v>2060</v>
      </c>
      <c r="C14" s="45" t="str">
        <f>VLOOKUP(T_Participaciones[[#This Row],[CC Prestataria]],T_Prestamos[#Data],2)</f>
        <v>Málaga 1</v>
      </c>
      <c r="D14" s="46">
        <f>SUMIFS(T_Prestamos[Importe],T_Prestamos[Centro coste],T_Participaciones[[#This Row],[CC Prestataria]])</f>
        <v>71940</v>
      </c>
      <c r="E14" s="44">
        <v>2202</v>
      </c>
      <c r="F14" s="45" t="str">
        <f>VLOOKUP(T_Participaciones[[#This Row],[CC CCPP]],T_Participes[#Data],2)</f>
        <v>Jaume Marcos Domenech</v>
      </c>
      <c r="G14" s="31">
        <v>12500</v>
      </c>
      <c r="H14" s="47">
        <f>T_Participaciones[[#This Row],[Importe]]/T_Participaciones[[#This Row],[Importe préstamo]]</f>
        <v>0.17375590770086183</v>
      </c>
      <c r="I14" s="30">
        <v>45742</v>
      </c>
      <c r="J14" s="30" t="s">
        <v>153</v>
      </c>
      <c r="K14" s="4">
        <v>0.02</v>
      </c>
      <c r="L14" s="28">
        <f>T_Participaciones[[#This Row],[% Gestión]]*T_Participaciones[[#This Row],[Importe]]</f>
        <v>250</v>
      </c>
      <c r="M14" s="41">
        <f>SUMIFS(T_Prestamos[Int. Anual],T_Prestamos[Centro coste],T_Participaciones[[#This Row],[CC Prestataria]])*T_Participaciones[[#This Row],[Participación]]</f>
        <v>1368.75</v>
      </c>
      <c r="N14" s="41">
        <v>0</v>
      </c>
      <c r="O14" s="41">
        <f ca="1">IF(T_Participaciones[[#This Row],[Fecha firma]]&gt;DATE(YEAR(TODAY())-1,MONTH(TODAY()),DAY(TODAY())),T_Participaciones[[#This Row],[Importe]]*T_Participaciones[[#This Row],[Apertura]],0)</f>
        <v>0</v>
      </c>
      <c r="P14" s="41">
        <f>VLOOKUP(T_Participaciones[[#This Row],[CC Prestataria]],T_Prestamos[],'Tabla Préstamos'!$I$2,FALSE)*T_Participaciones[[#This Row],[Participación]]*IF(T_Participaciones[[#This Row],[Situación]]="Cancelada",0,1)</f>
        <v>51845.635251598556</v>
      </c>
    </row>
    <row r="15" spans="2:16" x14ac:dyDescent="0.2">
      <c r="B15" s="44">
        <v>2061</v>
      </c>
      <c r="C15" s="45" t="str">
        <f>VLOOKUP(T_Participaciones[[#This Row],[CC Prestataria]],T_Prestamos[#Data],2)</f>
        <v>Carabanchel</v>
      </c>
      <c r="D15" s="46">
        <f>SUMIFS(T_Prestamos[Importe],T_Prestamos[Centro coste],T_Participaciones[[#This Row],[CC Prestataria]])</f>
        <v>143990</v>
      </c>
      <c r="E15" s="44">
        <v>2202</v>
      </c>
      <c r="F15" s="45" t="str">
        <f>VLOOKUP(T_Participaciones[[#This Row],[CC CCPP]],T_Participes[#Data],2)</f>
        <v>Jaume Marcos Domenech</v>
      </c>
      <c r="G15" s="31">
        <v>12500</v>
      </c>
      <c r="H15" s="47">
        <f>T_Participaciones[[#This Row],[Importe]]/T_Participaciones[[#This Row],[Importe préstamo]]</f>
        <v>8.6811584137787348E-2</v>
      </c>
      <c r="I15" s="30">
        <v>45742</v>
      </c>
      <c r="J15" s="30" t="s">
        <v>153</v>
      </c>
      <c r="K15" s="4">
        <v>0.02</v>
      </c>
      <c r="L15" s="28">
        <f>T_Participaciones[[#This Row],[% Gestión]]*T_Participaciones[[#This Row],[Importe]]</f>
        <v>250</v>
      </c>
      <c r="M15" s="41">
        <f>SUMIFS(T_Prestamos[Int. Anual],T_Prestamos[Centro coste],T_Participaciones[[#This Row],[CC Prestataria]])*T_Participaciones[[#This Row],[Participación]]</f>
        <v>1368.75</v>
      </c>
      <c r="N15" s="41">
        <v>0</v>
      </c>
      <c r="O15" s="41">
        <f ca="1">IF(T_Participaciones[[#This Row],[Fecha firma]]&gt;DATE(YEAR(TODAY())-1,MONTH(TODAY()),DAY(TODAY())),T_Participaciones[[#This Row],[Importe]]*T_Participaciones[[#This Row],[Apertura]],0)</f>
        <v>0</v>
      </c>
      <c r="P15" s="41">
        <f>VLOOKUP(T_Participaciones[[#This Row],[CC Prestataria]],T_Prestamos[],'Tabla Préstamos'!$I$2,FALSE)*T_Participaciones[[#This Row],[Participación]]*IF(T_Participaciones[[#This Row],[Situación]]="Cancelada",0,1)</f>
        <v>29125.286478227656</v>
      </c>
    </row>
    <row r="16" spans="2:16" x14ac:dyDescent="0.2">
      <c r="B16" s="44">
        <v>2061</v>
      </c>
      <c r="C16" s="45" t="str">
        <f>VLOOKUP(T_Participaciones[[#This Row],[CC Prestataria]],T_Prestamos[#Data],2)</f>
        <v>Carabanchel</v>
      </c>
      <c r="D16" s="46">
        <f>SUMIFS(T_Prestamos[Importe],T_Prestamos[Centro coste],T_Participaciones[[#This Row],[CC Prestataria]])</f>
        <v>143990</v>
      </c>
      <c r="E16" s="44">
        <v>2201</v>
      </c>
      <c r="F16" s="45" t="str">
        <f>VLOOKUP(T_Participaciones[[#This Row],[CC CCPP]],T_Participes[#Data],2)</f>
        <v>EXPORTEN</v>
      </c>
      <c r="G16" s="31">
        <v>60000</v>
      </c>
      <c r="H16" s="47">
        <f>T_Participaciones[[#This Row],[Importe]]/T_Participaciones[[#This Row],[Importe préstamo]]</f>
        <v>0.41669560386137927</v>
      </c>
      <c r="I16" s="30">
        <v>45742</v>
      </c>
      <c r="J16" s="30" t="s">
        <v>153</v>
      </c>
      <c r="K16" s="4">
        <v>0.02</v>
      </c>
      <c r="L16" s="28">
        <f>T_Participaciones[[#This Row],[% Gestión]]*T_Participaciones[[#This Row],[Importe]]</f>
        <v>1200</v>
      </c>
      <c r="M16" s="41">
        <f>SUMIFS(T_Prestamos[Int. Anual],T_Prestamos[Centro coste],T_Participaciones[[#This Row],[CC Prestataria]])*T_Participaciones[[#This Row],[Participación]]</f>
        <v>6570</v>
      </c>
      <c r="N16" s="41">
        <v>0</v>
      </c>
      <c r="O16" s="41">
        <f ca="1">IF(T_Participaciones[[#This Row],[Fecha firma]]&gt;DATE(YEAR(TODAY())-1,MONTH(TODAY()),DAY(TODAY())),T_Participaciones[[#This Row],[Importe]]*T_Participaciones[[#This Row],[Apertura]],0)</f>
        <v>0</v>
      </c>
      <c r="P16" s="41">
        <f>VLOOKUP(T_Participaciones[[#This Row],[CC Prestataria]],T_Prestamos[],'Tabla Préstamos'!$I$2,FALSE)*T_Participaciones[[#This Row],[Participación]]*IF(T_Participaciones[[#This Row],[Situación]]="Cancelada",0,1)</f>
        <v>139801.37509549275</v>
      </c>
    </row>
    <row r="17" spans="2:23" x14ac:dyDescent="0.2">
      <c r="B17" s="44">
        <v>2062</v>
      </c>
      <c r="C17" s="55" t="str">
        <f>VLOOKUP(T_Participaciones[[#This Row],[CC Prestataria]],T_Prestamos[#Data],2)</f>
        <v>Málaga 2</v>
      </c>
      <c r="D17" s="6">
        <f>SUMIFS(T_Prestamos[Importe],T_Prestamos[Centro coste],T_Participaciones[[#This Row],[CC Prestataria]])</f>
        <v>398880</v>
      </c>
      <c r="E17" s="44">
        <v>2201</v>
      </c>
      <c r="F17" s="55" t="str">
        <f>VLOOKUP(T_Participaciones[[#This Row],[CC CCPP]],T_Participes[#Data],2)</f>
        <v>EXPORTEN</v>
      </c>
      <c r="G17" s="31">
        <v>100000</v>
      </c>
      <c r="H17" s="47">
        <f>T_Participaciones[[#This Row],[Importe]]/T_Participaciones[[#This Row],[Importe préstamo]]</f>
        <v>0.25070196550340956</v>
      </c>
      <c r="I17" s="30">
        <v>45742</v>
      </c>
      <c r="J17" s="30" t="s">
        <v>153</v>
      </c>
      <c r="K17" s="4">
        <v>0.02</v>
      </c>
      <c r="L17" s="28">
        <f>T_Participaciones[[#This Row],[% Gestión]]*T_Participaciones[[#This Row],[Importe]]</f>
        <v>2000</v>
      </c>
      <c r="M17" s="41">
        <f>SUMIFS(T_Prestamos[Int. Anual],T_Prestamos[Centro coste],T_Participaciones[[#This Row],[CC Prestataria]])*T_Participaciones[[#This Row],[Participación]]</f>
        <v>10950</v>
      </c>
      <c r="N17" s="41">
        <v>0</v>
      </c>
      <c r="O17" s="41">
        <f ca="1">IF(T_Participaciones[[#This Row],[Fecha firma]]&gt;DATE(YEAR(TODAY())-1,MONTH(TODAY()),DAY(TODAY())),T_Participaciones[[#This Row],[Importe]]*T_Participaciones[[#This Row],[Apertura]],0)</f>
        <v>0</v>
      </c>
      <c r="P17" s="41">
        <f>VLOOKUP(T_Participaciones[[#This Row],[CC Prestataria]],T_Prestamos[],'Tabla Préstamos'!$I$2,FALSE)*T_Participaciones[[#This Row],[Participación]]*IF(T_Participaciones[[#This Row],[Situación]]="Cancelada",0,1)</f>
        <v>301510.47934215807</v>
      </c>
    </row>
    <row r="18" spans="2:23" x14ac:dyDescent="0.2">
      <c r="B18" s="44">
        <v>2062</v>
      </c>
      <c r="C18" s="55" t="str">
        <f>VLOOKUP(T_Participaciones[[#This Row],[CC Prestataria]],T_Prestamos[#Data],2)</f>
        <v>Málaga 2</v>
      </c>
      <c r="D18" s="6">
        <f>SUMIFS(T_Prestamos[Importe],T_Prestamos[Centro coste],T_Participaciones[[#This Row],[CC Prestataria]])</f>
        <v>398880</v>
      </c>
      <c r="E18" s="44">
        <v>2203</v>
      </c>
      <c r="F18" s="55" t="str">
        <f>VLOOKUP(T_Participaciones[[#This Row],[CC CCPP]],T_Participes[#Data],2)</f>
        <v>José Cosculluela</v>
      </c>
      <c r="G18" s="31">
        <v>100000</v>
      </c>
      <c r="H18" s="47">
        <f>T_Participaciones[[#This Row],[Importe]]/T_Participaciones[[#This Row],[Importe préstamo]]</f>
        <v>0.25070196550340956</v>
      </c>
      <c r="I18" s="30">
        <v>45742</v>
      </c>
      <c r="J18" s="30" t="s">
        <v>153</v>
      </c>
      <c r="K18" s="4">
        <v>0.02</v>
      </c>
      <c r="L18" s="28">
        <f>T_Participaciones[[#This Row],[% Gestión]]*T_Participaciones[[#This Row],[Importe]]</f>
        <v>2000</v>
      </c>
      <c r="M18" s="41">
        <f>SUMIFS(T_Prestamos[Int. Anual],T_Prestamos[Centro coste],T_Participaciones[[#This Row],[CC Prestataria]])*T_Participaciones[[#This Row],[Participación]]</f>
        <v>10950</v>
      </c>
      <c r="N18" s="41">
        <v>0</v>
      </c>
      <c r="O18" s="41">
        <f ca="1">IF(T_Participaciones[[#This Row],[Fecha firma]]&gt;DATE(YEAR(TODAY())-1,MONTH(TODAY()),DAY(TODAY())),T_Participaciones[[#This Row],[Importe]]*T_Participaciones[[#This Row],[Apertura]],0)</f>
        <v>0</v>
      </c>
      <c r="P18" s="41">
        <f>VLOOKUP(T_Participaciones[[#This Row],[CC Prestataria]],T_Prestamos[],'Tabla Préstamos'!$I$2,FALSE)*T_Participaciones[[#This Row],[Participación]]*IF(T_Participaciones[[#This Row],[Situación]]="Cancelada",0,1)</f>
        <v>301510.47934215807</v>
      </c>
    </row>
    <row r="19" spans="2:23" x14ac:dyDescent="0.2">
      <c r="B19" s="44">
        <v>2063</v>
      </c>
      <c r="C19" s="55" t="str">
        <f>VLOOKUP(T_Participaciones[[#This Row],[CC Prestataria]],T_Prestamos[#Data],2)</f>
        <v>Mallorca</v>
      </c>
      <c r="D19" s="6">
        <f>SUMIFS(T_Prestamos[Importe],T_Prestamos[Centro coste],T_Participaciones[[#This Row],[CC Prestataria]])</f>
        <v>167150</v>
      </c>
      <c r="E19" s="44">
        <v>2203</v>
      </c>
      <c r="F19" s="55" t="str">
        <f>VLOOKUP(T_Participaciones[[#This Row],[CC CCPP]],T_Participes[#Data],2)</f>
        <v>José Cosculluela</v>
      </c>
      <c r="G19" s="31">
        <v>80000</v>
      </c>
      <c r="H19" s="47">
        <f>T_Participaciones[[#This Row],[Importe]]/T_Participaciones[[#This Row],[Importe préstamo]]</f>
        <v>0.4786120251271313</v>
      </c>
      <c r="I19" s="30">
        <v>45853</v>
      </c>
      <c r="J19" s="30" t="s">
        <v>153</v>
      </c>
      <c r="K19" s="4">
        <v>0.02</v>
      </c>
      <c r="L19" s="28">
        <f>T_Participaciones[[#This Row],[% Gestión]]*T_Participaciones[[#This Row],[Importe]]</f>
        <v>1600</v>
      </c>
      <c r="M19" s="41">
        <f>SUMIFS(T_Prestamos[Int. Anual],T_Prestamos[Centro coste],T_Participaciones[[#This Row],[CC Prestataria]])*T_Participaciones[[#This Row],[Participación]]</f>
        <v>9200</v>
      </c>
      <c r="N19" s="41">
        <v>0</v>
      </c>
      <c r="O19" s="41">
        <f ca="1">IF(T_Participaciones[[#This Row],[Fecha firma]]&gt;DATE(YEAR(TODAY())-1,MONTH(TODAY()),DAY(TODAY())),T_Participaciones[[#This Row],[Importe]]*T_Participaciones[[#This Row],[Apertura]],0)</f>
        <v>0</v>
      </c>
      <c r="P19" s="41">
        <f>VLOOKUP(T_Participaciones[[#This Row],[CC Prestataria]],T_Prestamos[],'Tabla Préstamos'!$I$2,FALSE)*T_Participaciones[[#This Row],[Participación]]*IF(T_Participaciones[[#This Row],[Situación]]="Cancelada",0,1)</f>
        <v>1008332.6353574633</v>
      </c>
    </row>
    <row r="20" spans="2:23" x14ac:dyDescent="0.2">
      <c r="B20" s="44">
        <v>2064</v>
      </c>
      <c r="C20" s="55" t="str">
        <f>VLOOKUP(T_Participaciones[[#This Row],[CC Prestataria]],T_Prestamos[#Data],2)</f>
        <v>Parla 4</v>
      </c>
      <c r="D20" s="6">
        <f>SUMIFS(T_Prestamos[Importe],T_Prestamos[Centro coste],T_Participaciones[[#This Row],[CC Prestataria]])</f>
        <v>162220</v>
      </c>
      <c r="E20" s="44">
        <v>2203</v>
      </c>
      <c r="F20" s="55" t="str">
        <f>VLOOKUP(T_Participaciones[[#This Row],[CC CCPP]],T_Participes[#Data],2)</f>
        <v>José Cosculluela</v>
      </c>
      <c r="G20" s="31">
        <v>50000</v>
      </c>
      <c r="H20" s="47">
        <f>T_Participaciones[[#This Row],[Importe]]/T_Participaciones[[#This Row],[Importe préstamo]]</f>
        <v>0.30822340032055234</v>
      </c>
      <c r="I20" s="30">
        <v>45860</v>
      </c>
      <c r="J20" s="30" t="s">
        <v>153</v>
      </c>
      <c r="K20" s="4">
        <v>0.02</v>
      </c>
      <c r="L20" s="28">
        <f>T_Participaciones[[#This Row],[% Gestión]]*T_Participaciones[[#This Row],[Importe]]</f>
        <v>1000</v>
      </c>
      <c r="M20" s="41">
        <f>SUMIFS(T_Prestamos[Int. Anual],T_Prestamos[Centro coste],T_Participaciones[[#This Row],[CC Prestataria]])*T_Participaciones[[#This Row],[Participación]]</f>
        <v>5750</v>
      </c>
      <c r="N20" s="41">
        <v>0</v>
      </c>
      <c r="O20" s="41">
        <f ca="1">IF(T_Participaciones[[#This Row],[Fecha firma]]&gt;DATE(YEAR(TODAY())-1,MONTH(TODAY()),DAY(TODAY())),T_Participaciones[[#This Row],[Importe]]*T_Participaciones[[#This Row],[Apertura]],0)</f>
        <v>0</v>
      </c>
      <c r="P20" s="41">
        <f>VLOOKUP(T_Participaciones[[#This Row],[CC Prestataria]],T_Prestamos[],'Tabla Préstamos'!$I$2,FALSE)*T_Participaciones[[#This Row],[Participación]]*IF(T_Participaciones[[#This Row],[Situación]]="Cancelada",0,1)</f>
        <v>131663.78991493036</v>
      </c>
    </row>
    <row r="21" spans="2:23" x14ac:dyDescent="0.2">
      <c r="B21" s="44">
        <v>2064</v>
      </c>
      <c r="C21" s="55" t="str">
        <f>VLOOKUP(T_Participaciones[[#This Row],[CC Prestataria]],T_Prestamos[#Data],2)</f>
        <v>Parla 4</v>
      </c>
      <c r="D21" s="6">
        <f>SUMIFS(T_Prestamos[Importe],T_Prestamos[Centro coste],T_Participaciones[[#This Row],[CC Prestataria]])</f>
        <v>162220</v>
      </c>
      <c r="E21" s="44">
        <v>2201</v>
      </c>
      <c r="F21" s="55" t="str">
        <f>VLOOKUP(T_Participaciones[[#This Row],[CC CCPP]],T_Participes[#Data],2)</f>
        <v>EXPORTEN</v>
      </c>
      <c r="G21" s="31">
        <v>50000</v>
      </c>
      <c r="H21" s="47">
        <f>T_Participaciones[[#This Row],[Importe]]/T_Participaciones[[#This Row],[Importe préstamo]]</f>
        <v>0.30822340032055234</v>
      </c>
      <c r="I21" s="30">
        <v>45860</v>
      </c>
      <c r="J21" s="30" t="s">
        <v>153</v>
      </c>
      <c r="K21" s="4">
        <v>0.02</v>
      </c>
      <c r="L21" s="28">
        <f>T_Participaciones[[#This Row],[% Gestión]]*T_Participaciones[[#This Row],[Importe]]</f>
        <v>1000</v>
      </c>
      <c r="M21" s="41">
        <f>SUMIFS(T_Prestamos[Int. Anual],T_Prestamos[Centro coste],T_Participaciones[[#This Row],[CC Prestataria]])*T_Participaciones[[#This Row],[Participación]]</f>
        <v>5750</v>
      </c>
      <c r="N21" s="41">
        <v>0</v>
      </c>
      <c r="O21" s="41">
        <f ca="1">IF(T_Participaciones[[#This Row],[Fecha firma]]&gt;DATE(YEAR(TODAY())-1,MONTH(TODAY()),DAY(TODAY())),T_Participaciones[[#This Row],[Importe]]*T_Participaciones[[#This Row],[Apertura]],0)</f>
        <v>0</v>
      </c>
      <c r="P21" s="41">
        <f>VLOOKUP(T_Participaciones[[#This Row],[CC Prestataria]],T_Prestamos[],'Tabla Préstamos'!$I$2,FALSE)*T_Participaciones[[#This Row],[Participación]]*IF(T_Participaciones[[#This Row],[Situación]]="Cancelada",0,1)</f>
        <v>131663.78991493036</v>
      </c>
    </row>
    <row r="22" spans="2:23" x14ac:dyDescent="0.2">
      <c r="B22" s="44">
        <v>2057</v>
      </c>
      <c r="C22" s="55" t="str">
        <f>VLOOKUP(T_Participaciones[[#This Row],[CC Prestataria]],T_Prestamos[#Data],2)</f>
        <v>Blanes</v>
      </c>
      <c r="D22" s="6">
        <f>SUMIFS(T_Prestamos[Importe],T_Prestamos[Centro coste],T_Participaciones[[#This Row],[CC Prestataria]])</f>
        <v>114020</v>
      </c>
      <c r="E22" s="44">
        <v>2204</v>
      </c>
      <c r="F22" s="55" t="str">
        <f>VLOOKUP(T_Participaciones[[#This Row],[CC CCPP]],T_Participes[#Data],2)</f>
        <v>1151 INVERSIONES, SL</v>
      </c>
      <c r="G22" s="31">
        <v>30000</v>
      </c>
      <c r="H22" s="47">
        <f>T_Participaciones[[#This Row],[Importe]]/T_Participaciones[[#This Row],[Importe préstamo]]</f>
        <v>0.26311173478337135</v>
      </c>
      <c r="I22" s="30">
        <v>45891</v>
      </c>
      <c r="J22" s="30" t="s">
        <v>153</v>
      </c>
      <c r="K22" s="4">
        <v>0.02</v>
      </c>
      <c r="L22" s="28">
        <f>T_Participaciones[[#This Row],[% Gestión]]*T_Participaciones[[#This Row],[Importe]]</f>
        <v>600</v>
      </c>
      <c r="M22" s="41">
        <f>SUMIFS(T_Prestamos[Int. Anual],T_Prestamos[Centro coste],T_Participaciones[[#This Row],[CC Prestataria]])*T_Participaciones[[#This Row],[Participación]]</f>
        <v>3285.0000000000005</v>
      </c>
      <c r="N22" s="41">
        <v>0</v>
      </c>
      <c r="O22" s="41">
        <f ca="1">IF(T_Participaciones[[#This Row],[Fecha firma]]&gt;DATE(YEAR(TODAY())-1,MONTH(TODAY()),DAY(TODAY())),T_Participaciones[[#This Row],[Importe]]*T_Participaciones[[#This Row],[Apertura]],0)</f>
        <v>0</v>
      </c>
      <c r="P22" s="41">
        <f>VLOOKUP(T_Participaciones[[#This Row],[CC Prestataria]],T_Prestamos[],'Tabla Préstamos'!$I$2,FALSE)*T_Participaciones[[#This Row],[Participación]]*IF(T_Participaciones[[#This Row],[Situación]]="Cancelada",0,1)</f>
        <v>86281.441852306612</v>
      </c>
    </row>
    <row r="23" spans="2:23" x14ac:dyDescent="0.2">
      <c r="B23" s="44">
        <v>2061</v>
      </c>
      <c r="C23" s="55" t="str">
        <f>VLOOKUP(T_Participaciones[[#This Row],[CC Prestataria]],T_Prestamos[#Data],2)</f>
        <v>Carabanchel</v>
      </c>
      <c r="D23" s="6">
        <f>SUMIFS(T_Prestamos[Importe],T_Prestamos[Centro coste],T_Participaciones[[#This Row],[CC Prestataria]])</f>
        <v>143990</v>
      </c>
      <c r="E23" s="44">
        <v>2204</v>
      </c>
      <c r="F23" s="55" t="str">
        <f>VLOOKUP(T_Participaciones[[#This Row],[CC CCPP]],T_Participes[#Data],2)</f>
        <v>1151 INVERSIONES, SL</v>
      </c>
      <c r="G23" s="31">
        <v>50000</v>
      </c>
      <c r="H23" s="47">
        <f>T_Participaciones[[#This Row],[Importe]]/T_Participaciones[[#This Row],[Importe préstamo]]</f>
        <v>0.34724633655114939</v>
      </c>
      <c r="I23" s="30">
        <v>45891</v>
      </c>
      <c r="J23" s="30" t="s">
        <v>153</v>
      </c>
      <c r="K23" s="4">
        <v>0.02</v>
      </c>
      <c r="L23" s="28">
        <f>T_Participaciones[[#This Row],[% Gestión]]*T_Participaciones[[#This Row],[Importe]]</f>
        <v>1000</v>
      </c>
      <c r="M23" s="41">
        <f>SUMIFS(T_Prestamos[Int. Anual],T_Prestamos[Centro coste],T_Participaciones[[#This Row],[CC Prestataria]])*T_Participaciones[[#This Row],[Participación]]</f>
        <v>5475</v>
      </c>
      <c r="N23" s="41">
        <v>0</v>
      </c>
      <c r="O23" s="41">
        <f ca="1">IF(T_Participaciones[[#This Row],[Fecha firma]]&gt;DATE(YEAR(TODAY())-1,MONTH(TODAY()),DAY(TODAY())),T_Participaciones[[#This Row],[Importe]]*T_Participaciones[[#This Row],[Apertura]],0)</f>
        <v>0</v>
      </c>
      <c r="P23" s="41">
        <f>VLOOKUP(T_Participaciones[[#This Row],[CC Prestataria]],T_Prestamos[],'Tabla Préstamos'!$I$2,FALSE)*T_Participaciones[[#This Row],[Participación]]*IF(T_Participaciones[[#This Row],[Situación]]="Cancelada",0,1)</f>
        <v>116501.14591291062</v>
      </c>
    </row>
    <row r="24" spans="2:23" x14ac:dyDescent="0.2">
      <c r="B24" s="44">
        <v>2062</v>
      </c>
      <c r="C24" s="55" t="str">
        <f>VLOOKUP(T_Participaciones[[#This Row],[CC Prestataria]],T_Prestamos[#Data],2)</f>
        <v>Málaga 2</v>
      </c>
      <c r="D24" s="6">
        <f>SUMIFS(T_Prestamos[Importe],T_Prestamos[Centro coste],T_Participaciones[[#This Row],[CC Prestataria]])</f>
        <v>398880</v>
      </c>
      <c r="E24" s="44">
        <v>2204</v>
      </c>
      <c r="F24" s="55" t="str">
        <f>VLOOKUP(T_Participaciones[[#This Row],[CC CCPP]],T_Participes[#Data],2)</f>
        <v>1151 INVERSIONES, SL</v>
      </c>
      <c r="G24" s="31">
        <v>50000</v>
      </c>
      <c r="H24" s="47">
        <f>T_Participaciones[[#This Row],[Importe]]/T_Participaciones[[#This Row],[Importe préstamo]]</f>
        <v>0.12535098275170478</v>
      </c>
      <c r="I24" s="30">
        <v>45891</v>
      </c>
      <c r="J24" s="30" t="s">
        <v>153</v>
      </c>
      <c r="K24" s="4">
        <v>0.02</v>
      </c>
      <c r="L24" s="28">
        <f>T_Participaciones[[#This Row],[% Gestión]]*T_Participaciones[[#This Row],[Importe]]</f>
        <v>1000</v>
      </c>
      <c r="M24" s="41">
        <f>SUMIFS(T_Prestamos[Int. Anual],T_Prestamos[Centro coste],T_Participaciones[[#This Row],[CC Prestataria]])*T_Participaciones[[#This Row],[Participación]]</f>
        <v>5475</v>
      </c>
      <c r="N24" s="41">
        <v>0</v>
      </c>
      <c r="O24" s="41">
        <f ca="1">IF(T_Participaciones[[#This Row],[Fecha firma]]&gt;DATE(YEAR(TODAY())-1,MONTH(TODAY()),DAY(TODAY())),T_Participaciones[[#This Row],[Importe]]*T_Participaciones[[#This Row],[Apertura]],0)</f>
        <v>0</v>
      </c>
      <c r="P24" s="41">
        <f>VLOOKUP(T_Participaciones[[#This Row],[CC Prestataria]],T_Prestamos[],'Tabla Préstamos'!$I$2,FALSE)*T_Participaciones[[#This Row],[Participación]]*IF(T_Participaciones[[#This Row],[Situación]]="Cancelada",0,1)</f>
        <v>150755.23967107903</v>
      </c>
    </row>
    <row r="25" spans="2:23" x14ac:dyDescent="0.2">
      <c r="B25" s="44">
        <v>2063</v>
      </c>
      <c r="C25" s="55" t="str">
        <f>VLOOKUP(T_Participaciones[[#This Row],[CC Prestataria]],T_Prestamos[#Data],2)</f>
        <v>Mallorca</v>
      </c>
      <c r="D25" s="6">
        <f>SUMIFS(T_Prestamos[Importe],T_Prestamos[Centro coste],T_Participaciones[[#This Row],[CC Prestataria]])</f>
        <v>167150</v>
      </c>
      <c r="E25" s="44">
        <v>2204</v>
      </c>
      <c r="F25" s="55" t="str">
        <f>VLOOKUP(T_Participaciones[[#This Row],[CC CCPP]],T_Participes[#Data],2)</f>
        <v>1151 INVERSIONES, SL</v>
      </c>
      <c r="G25" s="31">
        <v>50000</v>
      </c>
      <c r="H25" s="47">
        <f>T_Participaciones[[#This Row],[Importe]]/T_Participaciones[[#This Row],[Importe préstamo]]</f>
        <v>0.29913251570445709</v>
      </c>
      <c r="I25" s="30">
        <v>45891</v>
      </c>
      <c r="J25" s="30" t="s">
        <v>153</v>
      </c>
      <c r="K25" s="4">
        <v>0.02</v>
      </c>
      <c r="L25" s="28">
        <f>T_Participaciones[[#This Row],[% Gestión]]*T_Participaciones[[#This Row],[Importe]]</f>
        <v>1000</v>
      </c>
      <c r="M25" s="41">
        <f>SUMIFS(T_Prestamos[Int. Anual],T_Prestamos[Centro coste],T_Participaciones[[#This Row],[CC Prestataria]])*T_Participaciones[[#This Row],[Participación]]</f>
        <v>5750</v>
      </c>
      <c r="N25" s="41">
        <v>0</v>
      </c>
      <c r="O25" s="41">
        <f ca="1">IF(T_Participaciones[[#This Row],[Fecha firma]]&gt;DATE(YEAR(TODAY())-1,MONTH(TODAY()),DAY(TODAY())),T_Participaciones[[#This Row],[Importe]]*T_Participaciones[[#This Row],[Apertura]],0)</f>
        <v>0</v>
      </c>
      <c r="P25" s="41">
        <f>VLOOKUP(T_Participaciones[[#This Row],[CC Prestataria]],T_Prestamos[],'Tabla Préstamos'!$I$2,FALSE)*T_Participaciones[[#This Row],[Participación]]*IF(T_Participaciones[[#This Row],[Situación]]="Cancelada",0,1)</f>
        <v>630207.8970984146</v>
      </c>
    </row>
    <row r="26" spans="2:23" x14ac:dyDescent="0.2">
      <c r="B26" s="44">
        <v>2056</v>
      </c>
      <c r="C26" s="55" t="str">
        <f>VLOOKUP(T_Participaciones[[#This Row],[CC Prestataria]],T_Prestamos[#Data],2)</f>
        <v>Parla 3</v>
      </c>
      <c r="D26" s="6">
        <f>SUMIFS(T_Prestamos[Importe],T_Prestamos[Centro coste],T_Participaciones[[#This Row],[CC Prestataria]])</f>
        <v>160000</v>
      </c>
      <c r="E26" s="44">
        <v>2204</v>
      </c>
      <c r="F26" s="55" t="str">
        <f>VLOOKUP(T_Participaciones[[#This Row],[CC CCPP]],T_Participes[#Data],2)</f>
        <v>1151 INVERSIONES, SL</v>
      </c>
      <c r="G26" s="31">
        <v>50000</v>
      </c>
      <c r="H26" s="47">
        <f>T_Participaciones[[#This Row],[Importe]]/T_Participaciones[[#This Row],[Importe préstamo]]</f>
        <v>0.3125</v>
      </c>
      <c r="I26" s="30">
        <v>45891</v>
      </c>
      <c r="J26" s="30" t="s">
        <v>153</v>
      </c>
      <c r="K26" s="4">
        <v>0.02</v>
      </c>
      <c r="L26" s="28">
        <f>T_Participaciones[[#This Row],[% Gestión]]*T_Participaciones[[#This Row],[Importe]]</f>
        <v>1000</v>
      </c>
      <c r="M26" s="41">
        <f>SUMIFS(T_Prestamos[Int. Anual],T_Prestamos[Centro coste],T_Participaciones[[#This Row],[CC Prestataria]])*T_Participaciones[[#This Row],[Participación]]</f>
        <v>5750</v>
      </c>
      <c r="N26" s="41">
        <v>0</v>
      </c>
      <c r="O26" s="41">
        <f ca="1">IF(T_Participaciones[[#This Row],[Fecha firma]]&gt;DATE(YEAR(TODAY())-1,MONTH(TODAY()),DAY(TODAY())),T_Participaciones[[#This Row],[Importe]]*T_Participaciones[[#This Row],[Apertura]],0)</f>
        <v>0</v>
      </c>
      <c r="P26" s="41">
        <f>VLOOKUP(T_Participaciones[[#This Row],[CC Prestataria]],T_Prestamos[],'Tabla Préstamos'!$I$2,FALSE)*T_Participaciones[[#This Row],[Participación]]*IF(T_Participaciones[[#This Row],[Situación]]="Cancelada",0,1)</f>
        <v>125199.6875</v>
      </c>
    </row>
    <row r="27" spans="2:23" x14ac:dyDescent="0.2">
      <c r="B27" s="44">
        <v>2065</v>
      </c>
      <c r="C27" s="55" t="str">
        <f>VLOOKUP(T_Participaciones[[#This Row],[CC Prestataria]],T_Prestamos[#Data],2)</f>
        <v>Málaga 3</v>
      </c>
      <c r="D27" s="6">
        <f>SUMIFS(T_Prestamos[Importe],T_Prestamos[Centro coste],T_Participaciones[[#This Row],[CC Prestataria]])</f>
        <v>139760</v>
      </c>
      <c r="E27" s="44">
        <v>2201</v>
      </c>
      <c r="F27" s="55" t="str">
        <f>VLOOKUP(T_Participaciones[[#This Row],[CC CCPP]],T_Participes[#Data],2)</f>
        <v>EXPORTEN</v>
      </c>
      <c r="G27" s="31">
        <v>70000</v>
      </c>
      <c r="H27" s="47">
        <f>T_Participaciones[[#This Row],[Importe]]/T_Participaciones[[#This Row],[Importe préstamo]]</f>
        <v>0.50085861476817406</v>
      </c>
      <c r="I27" s="30">
        <v>45961</v>
      </c>
      <c r="J27" s="30" t="s">
        <v>153</v>
      </c>
      <c r="K27" s="4">
        <v>0.02</v>
      </c>
      <c r="L27" s="28">
        <f>T_Participaciones[[#This Row],[% Gestión]]*T_Participaciones[[#This Row],[Importe]]</f>
        <v>1400</v>
      </c>
      <c r="M27" s="41">
        <f>SUMIFS(T_Prestamos[Int. Anual],T_Prestamos[Centro coste],T_Participaciones[[#This Row],[CC Prestataria]])*T_Participaciones[[#This Row],[Participación]]</f>
        <v>8050.0000000000018</v>
      </c>
      <c r="N27" s="41">
        <v>0</v>
      </c>
      <c r="O27" s="41">
        <f ca="1">IF(T_Participaciones[[#This Row],[Fecha firma]]&gt;DATE(YEAR(TODAY())-1,MONTH(TODAY()),DAY(TODAY())),T_Participaciones[[#This Row],[Importe]]*T_Participaciones[[#This Row],[Apertura]],0)</f>
        <v>0</v>
      </c>
      <c r="P27" s="41">
        <f>VLOOKUP(T_Participaciones[[#This Row],[CC Prestataria]],T_Prestamos[],'Tabla Préstamos'!$I$2,FALSE)*T_Participaciones[[#This Row],[Participación]]*IF(T_Participaciones[[#This Row],[Situación]]="Cancelada",0,1)</f>
        <v>175684.17286777333</v>
      </c>
    </row>
    <row r="28" spans="2:23" x14ac:dyDescent="0.2">
      <c r="B28" s="44">
        <v>2065</v>
      </c>
      <c r="C28" s="55" t="str">
        <f>VLOOKUP(T_Participaciones[[#This Row],[CC Prestataria]],T_Prestamos[#Data],2)</f>
        <v>Málaga 3</v>
      </c>
      <c r="D28" s="6">
        <f>SUMIFS(T_Prestamos[Importe],T_Prestamos[Centro coste],T_Participaciones[[#This Row],[CC Prestataria]])</f>
        <v>139760</v>
      </c>
      <c r="E28" s="44">
        <v>2204</v>
      </c>
      <c r="F28" s="55" t="str">
        <f>VLOOKUP(T_Participaciones[[#This Row],[CC CCPP]],T_Participes[#Data],2)</f>
        <v>1151 INVERSIONES, SL</v>
      </c>
      <c r="G28" s="31">
        <v>40000</v>
      </c>
      <c r="H28" s="47">
        <f>T_Participaciones[[#This Row],[Importe]]/T_Participaciones[[#This Row],[Importe préstamo]]</f>
        <v>0.28620492272467085</v>
      </c>
      <c r="I28" s="30">
        <v>45961</v>
      </c>
      <c r="J28" s="30" t="s">
        <v>153</v>
      </c>
      <c r="K28" s="4">
        <v>0.02</v>
      </c>
      <c r="L28" s="28">
        <f>T_Participaciones[[#This Row],[% Gestión]]*T_Participaciones[[#This Row],[Importe]]</f>
        <v>800</v>
      </c>
      <c r="M28" s="41">
        <f>SUMIFS(T_Prestamos[Int. Anual],T_Prestamos[Centro coste],T_Participaciones[[#This Row],[CC Prestataria]])*T_Participaciones[[#This Row],[Participación]]</f>
        <v>4600</v>
      </c>
      <c r="N28" s="41">
        <v>0</v>
      </c>
      <c r="O28" s="41">
        <f ca="1">IF(T_Participaciones[[#This Row],[Fecha firma]]&gt;DATE(YEAR(TODAY())-1,MONTH(TODAY()),DAY(TODAY())),T_Participaciones[[#This Row],[Importe]]*T_Participaciones[[#This Row],[Apertura]],0)</f>
        <v>0</v>
      </c>
      <c r="P28" s="41">
        <f>VLOOKUP(T_Participaciones[[#This Row],[CC Prestataria]],T_Prestamos[],'Tabla Préstamos'!$I$2,FALSE)*T_Participaciones[[#This Row],[Participación]]*IF(T_Participaciones[[#This Row],[Situación]]="Cancelada",0,1)</f>
        <v>100390.95592444189</v>
      </c>
    </row>
    <row r="29" spans="2:23" x14ac:dyDescent="0.2">
      <c r="B29" s="44">
        <v>2062</v>
      </c>
      <c r="C29" s="55" t="str">
        <f>VLOOKUP(T_Participaciones[[#This Row],[CC Prestataria]],T_Prestamos[#Data],2)</f>
        <v>Málaga 2</v>
      </c>
      <c r="D29" s="6">
        <f>SUMIFS(T_Prestamos[Importe],T_Prestamos[Centro coste],T_Participaciones[[#This Row],[CC Prestataria]])</f>
        <v>398880</v>
      </c>
      <c r="E29" s="44">
        <v>2205</v>
      </c>
      <c r="F29" s="55" t="str">
        <f>VLOOKUP(T_Participaciones[[#This Row],[CC CCPP]],T_Participes[#Data],2)</f>
        <v>Xavier Riart</v>
      </c>
      <c r="G29" s="31">
        <v>30000</v>
      </c>
      <c r="H29" s="47">
        <f>T_Participaciones[[#This Row],[Importe]]/T_Participaciones[[#This Row],[Importe préstamo]]</f>
        <v>7.5210589651022869E-2</v>
      </c>
      <c r="I29" s="30">
        <v>45971</v>
      </c>
      <c r="J29" s="30" t="s">
        <v>153</v>
      </c>
      <c r="K29" s="4">
        <v>0.02</v>
      </c>
      <c r="L29" s="28">
        <f>T_Participaciones[[#This Row],[% Gestión]]*T_Participaciones[[#This Row],[Importe]]</f>
        <v>600</v>
      </c>
      <c r="M29" s="41">
        <f>SUMIFS(T_Prestamos[Int. Anual],T_Prestamos[Centro coste],T_Participaciones[[#This Row],[CC Prestataria]])*T_Participaciones[[#This Row],[Participación]]</f>
        <v>3285.0000000000005</v>
      </c>
      <c r="N29" s="41">
        <v>0</v>
      </c>
      <c r="O29" s="41">
        <f ca="1">IF(T_Participaciones[[#This Row],[Fecha firma]]&gt;DATE(YEAR(TODAY())-1,MONTH(TODAY()),DAY(TODAY())),T_Participaciones[[#This Row],[Importe]]*T_Participaciones[[#This Row],[Apertura]],0)</f>
        <v>0</v>
      </c>
      <c r="P29" s="41">
        <f>VLOOKUP(T_Participaciones[[#This Row],[CC Prestataria]],T_Prestamos[],'Tabla Préstamos'!$I$2,FALSE)*T_Participaciones[[#This Row],[Participación]]*IF(T_Participaciones[[#This Row],[Situación]]="Cancelada",0,1)</f>
        <v>90453.143802647421</v>
      </c>
      <c r="W29">
        <f>450000-65000+30000</f>
        <v>415000</v>
      </c>
    </row>
    <row r="30" spans="2:23" x14ac:dyDescent="0.2">
      <c r="B30" s="44">
        <v>2063</v>
      </c>
      <c r="C30" s="55" t="str">
        <f>VLOOKUP(T_Participaciones[[#This Row],[CC Prestataria]],T_Prestamos[#Data],2)</f>
        <v>Mallorca</v>
      </c>
      <c r="D30" s="6">
        <f>SUMIFS(T_Prestamos[Importe],T_Prestamos[Centro coste],T_Participaciones[[#This Row],[CC Prestataria]])</f>
        <v>167150</v>
      </c>
      <c r="E30" s="44">
        <v>2205</v>
      </c>
      <c r="F30" s="55" t="str">
        <f>VLOOKUP(T_Participaciones[[#This Row],[CC CCPP]],T_Participes[#Data],2)</f>
        <v>Xavier Riart</v>
      </c>
      <c r="G30" s="31">
        <v>25000</v>
      </c>
      <c r="H30" s="47">
        <f>T_Participaciones[[#This Row],[Importe]]/T_Participaciones[[#This Row],[Importe préstamo]]</f>
        <v>0.14956625785222855</v>
      </c>
      <c r="I30" s="30">
        <v>45971</v>
      </c>
      <c r="J30" s="30" t="s">
        <v>153</v>
      </c>
      <c r="K30" s="4">
        <v>0.02</v>
      </c>
      <c r="L30" s="28">
        <f>T_Participaciones[[#This Row],[% Gestión]]*T_Participaciones[[#This Row],[Importe]]</f>
        <v>500</v>
      </c>
      <c r="M30" s="41">
        <f>SUMIFS(T_Prestamos[Int. Anual],T_Prestamos[Centro coste],T_Participaciones[[#This Row],[CC Prestataria]])*T_Participaciones[[#This Row],[Participación]]</f>
        <v>2875</v>
      </c>
      <c r="N30" s="41">
        <v>0</v>
      </c>
      <c r="O30" s="41">
        <f ca="1">IF(T_Participaciones[[#This Row],[Fecha firma]]&gt;DATE(YEAR(TODAY())-1,MONTH(TODAY()),DAY(TODAY())),T_Participaciones[[#This Row],[Importe]]*T_Participaciones[[#This Row],[Apertura]],0)</f>
        <v>0</v>
      </c>
      <c r="P30" s="41">
        <f>VLOOKUP(T_Participaciones[[#This Row],[CC Prestataria]],T_Prestamos[],'Tabla Préstamos'!$I$2,FALSE)*T_Participaciones[[#This Row],[Participación]]*IF(T_Participaciones[[#This Row],[Situación]]="Cancelada",0,1)</f>
        <v>315103.9485492073</v>
      </c>
    </row>
    <row r="31" spans="2:23" x14ac:dyDescent="0.2">
      <c r="B31" s="44">
        <v>2061</v>
      </c>
      <c r="C31" s="55" t="str">
        <f>VLOOKUP(T_Participaciones[[#This Row],[CC Prestataria]],T_Prestamos[#Data],2)</f>
        <v>Carabanchel</v>
      </c>
      <c r="D31" s="6">
        <f>SUMIFS(T_Prestamos[Importe],T_Prestamos[Centro coste],T_Participaciones[[#This Row],[CC Prestataria]])</f>
        <v>143990</v>
      </c>
      <c r="E31" s="44">
        <v>2205</v>
      </c>
      <c r="F31" s="55" t="str">
        <f>VLOOKUP(T_Participaciones[[#This Row],[CC CCPP]],T_Participes[#Data],2)</f>
        <v>Xavier Riart</v>
      </c>
      <c r="G31" s="31">
        <v>15000</v>
      </c>
      <c r="H31" s="47">
        <f>T_Participaciones[[#This Row],[Importe]]/T_Participaciones[[#This Row],[Importe préstamo]]</f>
        <v>0.10417390096534482</v>
      </c>
      <c r="I31" s="30">
        <v>45971</v>
      </c>
      <c r="J31" s="30" t="s">
        <v>153</v>
      </c>
      <c r="K31" s="4">
        <v>0.02</v>
      </c>
      <c r="L31" s="28">
        <f>T_Participaciones[[#This Row],[% Gestión]]*T_Participaciones[[#This Row],[Importe]]</f>
        <v>300</v>
      </c>
      <c r="M31" s="41">
        <f>SUMIFS(T_Prestamos[Int. Anual],T_Prestamos[Centro coste],T_Participaciones[[#This Row],[CC Prestataria]])*T_Participaciones[[#This Row],[Participación]]</f>
        <v>1642.5</v>
      </c>
      <c r="N31" s="41">
        <v>0</v>
      </c>
      <c r="O31" s="41">
        <f ca="1">IF(T_Participaciones[[#This Row],[Fecha firma]]&gt;DATE(YEAR(TODAY())-1,MONTH(TODAY()),DAY(TODAY())),T_Participaciones[[#This Row],[Importe]]*T_Participaciones[[#This Row],[Apertura]],0)</f>
        <v>0</v>
      </c>
      <c r="P31" s="41">
        <f>VLOOKUP(T_Participaciones[[#This Row],[CC Prestataria]],T_Prestamos[],'Tabla Préstamos'!$I$2,FALSE)*T_Participaciones[[#This Row],[Participación]]*IF(T_Participaciones[[#This Row],[Situación]]="Cancelada",0,1)</f>
        <v>34950.343773873188</v>
      </c>
    </row>
    <row r="32" spans="2:23" x14ac:dyDescent="0.2">
      <c r="B32" s="44">
        <v>2066</v>
      </c>
      <c r="C32" s="55" t="str">
        <f>VLOOKUP(T_Participaciones[[#This Row],[CC Prestataria]],T_Prestamos[#Data],2)</f>
        <v>Almería</v>
      </c>
      <c r="D32" s="6">
        <f>SUMIFS(T_Prestamos[Importe],T_Prestamos[Centro coste],T_Participaciones[[#This Row],[CC Prestataria]])</f>
        <v>176950</v>
      </c>
      <c r="E32" s="44">
        <v>2201</v>
      </c>
      <c r="F32" s="55" t="str">
        <f>VLOOKUP(T_Participaciones[[#This Row],[CC CCPP]],T_Participes[#Data],2)</f>
        <v>EXPORTEN</v>
      </c>
      <c r="G32" s="31">
        <v>130000</v>
      </c>
      <c r="H32" s="47">
        <f>T_Participaciones[[#This Row],[Importe]]/T_Participaciones[[#This Row],[Importe préstamo]]</f>
        <v>0.73467081096354903</v>
      </c>
      <c r="I32" s="30">
        <v>46001</v>
      </c>
      <c r="J32" s="30" t="s">
        <v>153</v>
      </c>
      <c r="K32" s="4">
        <v>0.02</v>
      </c>
      <c r="L32" s="28">
        <f>T_Participaciones[[#This Row],[% Gestión]]*T_Participaciones[[#This Row],[Importe]]</f>
        <v>2600</v>
      </c>
      <c r="M32" s="41">
        <f>SUMIFS(T_Prestamos[Int. Anual],T_Prestamos[Centro coste],T_Participaciones[[#This Row],[CC Prestataria]])*T_Participaciones[[#This Row],[Participación]]</f>
        <v>14300</v>
      </c>
      <c r="N32" s="41">
        <v>0</v>
      </c>
      <c r="O32" s="41">
        <f ca="1">IF(T_Participaciones[[#This Row],[Fecha firma]]&gt;DATE(YEAR(TODAY())-1,MONTH(TODAY()),DAY(TODAY())),T_Participaciones[[#This Row],[Importe]]*T_Participaciones[[#This Row],[Apertura]],0)</f>
        <v>0</v>
      </c>
      <c r="P32" s="41">
        <f>VLOOKUP(T_Participaciones[[#This Row],[CC Prestataria]],T_Prestamos[],'Tabla Préstamos'!$I$2,FALSE)*T_Participaciones[[#This Row],[Participación]]*IF(T_Participaciones[[#This Row],[Situación]]="Cancelada",0,1)</f>
        <v>364191.74908166146</v>
      </c>
      <c r="Q32" s="12"/>
      <c r="R32" s="56"/>
    </row>
    <row r="33" spans="2:18" x14ac:dyDescent="0.2">
      <c r="B33" s="44">
        <v>2066</v>
      </c>
      <c r="C33" s="55" t="str">
        <f>VLOOKUP(T_Participaciones[[#This Row],[CC Prestataria]],T_Prestamos[#Data],2)</f>
        <v>Almería</v>
      </c>
      <c r="D33" s="6">
        <f>SUMIFS(T_Prestamos[Importe],T_Prestamos[Centro coste],T_Participaciones[[#This Row],[CC Prestataria]])</f>
        <v>176950</v>
      </c>
      <c r="E33" s="44">
        <v>2205</v>
      </c>
      <c r="F33" s="55" t="str">
        <f>VLOOKUP(T_Participaciones[[#This Row],[CC CCPP]],T_Participes[#Data],2)</f>
        <v>Xavier Riart</v>
      </c>
      <c r="G33" s="31">
        <v>30000</v>
      </c>
      <c r="H33" s="47">
        <f>T_Participaciones[[#This Row],[Importe]]/T_Participaciones[[#This Row],[Importe préstamo]]</f>
        <v>0.16953941791466515</v>
      </c>
      <c r="I33" s="30">
        <v>46001</v>
      </c>
      <c r="J33" s="30" t="s">
        <v>153</v>
      </c>
      <c r="K33" s="4">
        <v>0.02</v>
      </c>
      <c r="L33" s="28">
        <f>T_Participaciones[[#This Row],[% Gestión]]*T_Participaciones[[#This Row],[Importe]]</f>
        <v>600</v>
      </c>
      <c r="M33" s="41">
        <f>SUMIFS(T_Prestamos[Int. Anual],T_Prestamos[Centro coste],T_Participaciones[[#This Row],[CC Prestataria]])*T_Participaciones[[#This Row],[Participación]]</f>
        <v>3299.9999999999995</v>
      </c>
      <c r="N33" s="41">
        <v>0</v>
      </c>
      <c r="O33" s="41">
        <f ca="1">IF(T_Participaciones[[#This Row],[Fecha firma]]&gt;DATE(YEAR(TODAY())-1,MONTH(TODAY()),DAY(TODAY())),T_Participaciones[[#This Row],[Importe]]*T_Participaciones[[#This Row],[Apertura]],0)</f>
        <v>0</v>
      </c>
      <c r="P33" s="41">
        <f>VLOOKUP(T_Participaciones[[#This Row],[CC Prestataria]],T_Prestamos[],'Tabla Préstamos'!$I$2,FALSE)*T_Participaciones[[#This Row],[Participación]]*IF(T_Participaciones[[#This Row],[Situación]]="Cancelada",0,1)</f>
        <v>84044.249788075715</v>
      </c>
    </row>
    <row r="34" spans="2:18" x14ac:dyDescent="0.2">
      <c r="B34" s="44">
        <v>2067</v>
      </c>
      <c r="C34" s="55" t="str">
        <f>VLOOKUP(T_Participaciones[[#This Row],[CC Prestataria]],T_Prestamos[#Data],2)</f>
        <v>Casares</v>
      </c>
      <c r="D34" s="6">
        <f>SUMIFS(T_Prestamos[Importe],T_Prestamos[Centro coste],T_Participaciones[[#This Row],[CC Prestataria]])</f>
        <v>549900</v>
      </c>
      <c r="E34" s="44">
        <v>2201</v>
      </c>
      <c r="F34" s="55" t="str">
        <f>VLOOKUP(T_Participaciones[[#This Row],[CC CCPP]],T_Participes[#Data],2)</f>
        <v>EXPORTEN</v>
      </c>
      <c r="G34" s="31">
        <v>250000</v>
      </c>
      <c r="H34" s="47">
        <f>T_Participaciones[[#This Row],[Importe]]/T_Participaciones[[#This Row],[Importe préstamo]]</f>
        <v>0.45462811420258231</v>
      </c>
      <c r="I34" s="30">
        <v>46009</v>
      </c>
      <c r="J34" s="30" t="s">
        <v>153</v>
      </c>
      <c r="K34" s="4">
        <v>0.02</v>
      </c>
      <c r="L34" s="28">
        <f>T_Participaciones[[#This Row],[% Gestión]]*T_Participaciones[[#This Row],[Importe]]</f>
        <v>5000</v>
      </c>
      <c r="M34" s="41">
        <f>SUMIFS(T_Prestamos[Int. Anual],T_Prestamos[Centro coste],T_Participaciones[[#This Row],[CC Prestataria]])*T_Participaciones[[#This Row],[Participación]]</f>
        <v>28750</v>
      </c>
      <c r="N34" s="41">
        <v>0</v>
      </c>
      <c r="O34" s="41">
        <f ca="1">IF(T_Participaciones[[#This Row],[Fecha firma]]&gt;DATE(YEAR(TODAY())-1,MONTH(TODAY()),DAY(TODAY())),T_Participaciones[[#This Row],[Importe]]*T_Participaciones[[#This Row],[Apertura]],0)</f>
        <v>0</v>
      </c>
      <c r="P34" s="41">
        <f>VLOOKUP(T_Participaciones[[#This Row],[CC Prestataria]],T_Prestamos[],'Tabla Préstamos'!$I$2,FALSE)*T_Participaciones[[#This Row],[Participación]]*IF(T_Participaciones[[#This Row],[Situación]]="Cancelada",0,1)</f>
        <v>1129283.4242589562</v>
      </c>
      <c r="Q34" s="12"/>
      <c r="R34" s="56"/>
    </row>
    <row r="35" spans="2:18" x14ac:dyDescent="0.2">
      <c r="B35" s="44">
        <v>2067</v>
      </c>
      <c r="C35" s="55" t="str">
        <f>VLOOKUP(T_Participaciones[[#This Row],[CC Prestataria]],T_Prestamos[#Data],2)</f>
        <v>Casares</v>
      </c>
      <c r="D35" s="6">
        <f>SUMIFS(T_Prestamos[Importe],T_Prestamos[Centro coste],T_Participaciones[[#This Row],[CC Prestataria]])</f>
        <v>549900</v>
      </c>
      <c r="E35" s="44">
        <v>2206</v>
      </c>
      <c r="F35" s="55" t="str">
        <f>VLOOKUP(T_Participaciones[[#This Row],[CC CCPP]],T_Participes[#Data],2)</f>
        <v>PRESTAPRO CAPITAL, SL</v>
      </c>
      <c r="G35" s="31">
        <v>50000</v>
      </c>
      <c r="H35" s="47">
        <f>T_Participaciones[[#This Row],[Importe]]/T_Participaciones[[#This Row],[Importe préstamo]]</f>
        <v>9.092562284051646E-2</v>
      </c>
      <c r="I35" s="30">
        <v>46009</v>
      </c>
      <c r="J35" s="30" t="s">
        <v>153</v>
      </c>
      <c r="K35" s="4">
        <v>0</v>
      </c>
      <c r="L35" s="28">
        <f>T_Participaciones[[#This Row],[% Gestión]]*T_Participaciones[[#This Row],[Importe]]</f>
        <v>0</v>
      </c>
      <c r="M35" s="41">
        <f>SUMIFS(T_Prestamos[Int. Anual],T_Prestamos[Centro coste],T_Participaciones[[#This Row],[CC Prestataria]])*T_Participaciones[[#This Row],[Participación]]</f>
        <v>5750</v>
      </c>
      <c r="N35" s="41">
        <v>0.02</v>
      </c>
      <c r="O35" s="41">
        <f ca="1">IF(T_Participaciones[[#This Row],[Fecha firma]]&gt;DATE(YEAR(TODAY())-1,MONTH(TODAY()),DAY(TODAY())),T_Participaciones[[#This Row],[Importe]]*T_Participaciones[[#This Row],[Apertura]],0)</f>
        <v>1000</v>
      </c>
      <c r="P35" s="41">
        <f>VLOOKUP(T_Participaciones[[#This Row],[CC Prestataria]],T_Prestamos[],'Tabla Préstamos'!$I$2,FALSE)*T_Participaciones[[#This Row],[Participación]]*IF(T_Participaciones[[#This Row],[Situación]]="Cancelada",0,1)</f>
        <v>225856.68485179121</v>
      </c>
      <c r="Q35" s="12"/>
      <c r="R35" s="56"/>
    </row>
    <row r="36" spans="2:18" x14ac:dyDescent="0.2">
      <c r="O36" s="12"/>
      <c r="P36" s="12"/>
      <c r="Q36" s="12"/>
      <c r="R36" s="56"/>
    </row>
    <row r="37" spans="2:18" x14ac:dyDescent="0.2">
      <c r="B37" s="57" t="s">
        <v>155</v>
      </c>
      <c r="C37" s="57"/>
      <c r="D37" s="57"/>
      <c r="E37" s="57"/>
      <c r="F37" s="57"/>
      <c r="G37" s="57"/>
      <c r="H37" s="57"/>
      <c r="I37" s="57"/>
      <c r="J37" s="57"/>
    </row>
    <row r="38" spans="2:18" x14ac:dyDescent="0.2">
      <c r="B38" s="57" t="s">
        <v>156</v>
      </c>
      <c r="C38" s="57"/>
      <c r="D38" s="57"/>
      <c r="E38" s="57"/>
      <c r="F38" s="57"/>
      <c r="G38" s="57"/>
      <c r="H38" s="57"/>
      <c r="I38" s="57"/>
      <c r="J38" s="57"/>
      <c r="O38" s="12"/>
      <c r="P38" s="12"/>
      <c r="Q38" s="12"/>
      <c r="R38" s="56"/>
    </row>
    <row r="39" spans="2:18" x14ac:dyDescent="0.2">
      <c r="B39" s="57" t="s">
        <v>157</v>
      </c>
      <c r="C39" s="57"/>
      <c r="D39" s="57"/>
      <c r="E39" s="57"/>
      <c r="F39" s="57"/>
      <c r="G39" s="57"/>
      <c r="H39" s="57"/>
      <c r="I39" s="57"/>
      <c r="J39" s="57"/>
    </row>
    <row r="40" spans="2:18" x14ac:dyDescent="0.2">
      <c r="O40" s="12"/>
      <c r="P40" s="12"/>
      <c r="Q40" s="12"/>
      <c r="R40" s="56"/>
    </row>
    <row r="41" spans="2:18" x14ac:dyDescent="0.2">
      <c r="G41" s="56" t="e">
        <f>G32+G34+#REF!</f>
        <v>#REF!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Cálculo pagos</vt:lpstr>
      <vt:lpstr>Dashboard</vt:lpstr>
      <vt:lpstr>Tabla Préstamos</vt:lpstr>
      <vt:lpstr>Tabla Partícipes</vt:lpstr>
      <vt:lpstr>Tabla Participación CCPP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Narcís Magriñà</dc:creator>
  <cp:lastModifiedBy>Narcís Magriñà</cp:lastModifiedBy>
  <dcterms:created xsi:type="dcterms:W3CDTF">2023-03-02T20:57:13Z</dcterms:created>
  <dcterms:modified xsi:type="dcterms:W3CDTF">2026-03-15T15:36:05Z</dcterms:modified>
</cp:coreProperties>
</file>