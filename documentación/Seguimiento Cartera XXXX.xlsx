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documentación/"/>
    </mc:Choice>
  </mc:AlternateContent>
  <xr:revisionPtr revIDLastSave="0" documentId="13_ncr:1_{5C788B4A-7D77-6C47-B7BC-311058CD9342}" xr6:coauthVersionLast="47" xr6:coauthVersionMax="47" xr10:uidLastSave="{00000000-0000-0000-0000-000000000000}"/>
  <bookViews>
    <workbookView xWindow="20160" yWindow="4960" windowWidth="25960" windowHeight="22120" xr2:uid="{7DA0983C-EA6B-584E-90AC-C5A5D261DBFA}"/>
  </bookViews>
  <sheets>
    <sheet name="Préstamos participados" sheetId="1" r:id="rId1"/>
    <sheet name="Cancelaciones" sheetId="9" r:id="rId2"/>
  </sheets>
  <externalReferences>
    <externalReference r:id="rId3"/>
  </externalReferences>
  <definedNames>
    <definedName name="Dia_Firma">'Préstamos participados'!#REF!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G5" i="1"/>
  <c r="K5" i="1" s="1"/>
  <c r="P5" i="1" s="1"/>
  <c r="D12" i="1" l="1"/>
  <c r="J5" i="1"/>
  <c r="F5" i="1"/>
  <c r="Q5" i="1"/>
  <c r="O5" i="1"/>
  <c r="G12" i="1" l="1"/>
  <c r="F12" i="1" l="1"/>
  <c r="E12" i="1" l="1"/>
  <c r="D13" i="9" l="1"/>
  <c r="D21" i="9"/>
  <c r="D15" i="9"/>
  <c r="D17" i="9"/>
  <c r="C21" i="9"/>
  <c r="C13" i="9"/>
  <c r="C17" i="9" s="1"/>
  <c r="C15" i="9"/>
  <c r="R2" i="1"/>
  <c r="I2" i="1"/>
  <c r="D18" i="1" s="1"/>
  <c r="O2" i="1"/>
  <c r="D15" i="1" s="1"/>
  <c r="P2" i="1"/>
  <c r="D22" i="1" s="1"/>
  <c r="D44" i="1" l="1"/>
  <c r="D39" i="1"/>
  <c r="D24" i="1" s="1"/>
  <c r="G15" i="1"/>
  <c r="G18" i="1"/>
  <c r="G39" i="1" s="1"/>
  <c r="G22" i="1"/>
  <c r="F22" i="1"/>
  <c r="F15" i="1"/>
  <c r="F18" i="1"/>
  <c r="F39" i="1" s="1"/>
  <c r="E18" i="1"/>
  <c r="E15" i="1"/>
  <c r="D16" i="9"/>
  <c r="D24" i="9" s="1"/>
  <c r="D25" i="9" s="1"/>
  <c r="D26" i="9" s="1"/>
  <c r="D29" i="9" s="1"/>
  <c r="C16" i="9"/>
  <c r="C24" i="9" s="1"/>
  <c r="C2" i="1"/>
  <c r="D11" i="1" s="1"/>
  <c r="D2" i="1"/>
  <c r="E2" i="1"/>
  <c r="F2" i="1"/>
  <c r="G2" i="1"/>
  <c r="H2" i="1"/>
  <c r="D14" i="1" s="1"/>
  <c r="D19" i="1" s="1"/>
  <c r="D38" i="1" s="1"/>
  <c r="J2" i="1"/>
  <c r="K2" i="1"/>
  <c r="L2" i="1"/>
  <c r="M2" i="1"/>
  <c r="N2" i="1"/>
  <c r="Q2" i="1"/>
  <c r="D30" i="1" s="1"/>
  <c r="B2" i="1"/>
  <c r="D31" i="1" l="1"/>
  <c r="D40" i="1"/>
  <c r="D23" i="1"/>
  <c r="D25" i="1" s="1"/>
  <c r="D26" i="1" s="1"/>
  <c r="D27" i="1" s="1"/>
  <c r="D13" i="1"/>
  <c r="D21" i="1" s="1"/>
  <c r="D29" i="1" s="1"/>
  <c r="D17" i="1"/>
  <c r="D32" i="1"/>
  <c r="G17" i="1"/>
  <c r="F17" i="1"/>
  <c r="E17" i="1"/>
  <c r="G13" i="1"/>
  <c r="G21" i="1" s="1"/>
  <c r="G29" i="1" s="1"/>
  <c r="G11" i="1"/>
  <c r="G30" i="1"/>
  <c r="G32" i="1" s="1"/>
  <c r="E22" i="1"/>
  <c r="G44" i="1"/>
  <c r="G14" i="1"/>
  <c r="G19" i="1" s="1"/>
  <c r="G38" i="1" s="1"/>
  <c r="G23" i="1" s="1"/>
  <c r="G24" i="1"/>
  <c r="F44" i="1"/>
  <c r="F30" i="1"/>
  <c r="F32" i="1" s="1"/>
  <c r="F14" i="1"/>
  <c r="F19" i="1" s="1"/>
  <c r="F38" i="1" s="1"/>
  <c r="F40" i="1" s="1"/>
  <c r="F13" i="1"/>
  <c r="F21" i="1" s="1"/>
  <c r="F29" i="1" s="1"/>
  <c r="F11" i="1"/>
  <c r="F24" i="1"/>
  <c r="E30" i="1"/>
  <c r="E44" i="1"/>
  <c r="E39" i="1"/>
  <c r="E13" i="1"/>
  <c r="E21" i="1" s="1"/>
  <c r="E29" i="1" s="1"/>
  <c r="E11" i="1"/>
  <c r="E14" i="1"/>
  <c r="E19" i="1" s="1"/>
  <c r="E38" i="1" s="1"/>
  <c r="C25" i="9"/>
  <c r="C26" i="9" s="1"/>
  <c r="C29" i="9" s="1"/>
  <c r="D41" i="1" l="1"/>
  <c r="D42" i="1" s="1"/>
  <c r="D45" i="1"/>
  <c r="D46" i="1" s="1"/>
  <c r="D33" i="1"/>
  <c r="D34" i="1" s="1"/>
  <c r="D35" i="1" s="1"/>
  <c r="G31" i="1"/>
  <c r="G33" i="1" s="1"/>
  <c r="G34" i="1" s="1"/>
  <c r="G35" i="1" s="1"/>
  <c r="G40" i="1"/>
  <c r="G41" i="1" s="1"/>
  <c r="G42" i="1" s="1"/>
  <c r="G25" i="1"/>
  <c r="G26" i="1" s="1"/>
  <c r="G27" i="1" s="1"/>
  <c r="H44" i="1"/>
  <c r="H38" i="1"/>
  <c r="H39" i="1"/>
  <c r="F23" i="1"/>
  <c r="F25" i="1" s="1"/>
  <c r="F26" i="1" s="1"/>
  <c r="F27" i="1" s="1"/>
  <c r="F31" i="1"/>
  <c r="F33" i="1" s="1"/>
  <c r="F34" i="1" s="1"/>
  <c r="F35" i="1" s="1"/>
  <c r="F45" i="1"/>
  <c r="F46" i="1" s="1"/>
  <c r="F41" i="1"/>
  <c r="F42" i="1" s="1"/>
  <c r="E23" i="1"/>
  <c r="E31" i="1"/>
  <c r="E40" i="1"/>
  <c r="E24" i="1"/>
  <c r="E32" i="1"/>
  <c r="G45" i="1" l="1"/>
  <c r="G46" i="1" s="1"/>
  <c r="H40" i="1"/>
  <c r="E33" i="1"/>
  <c r="E34" i="1" s="1"/>
  <c r="E35" i="1" s="1"/>
  <c r="E41" i="1"/>
  <c r="E42" i="1" s="1"/>
  <c r="E45" i="1"/>
  <c r="E46" i="1" s="1"/>
  <c r="E25" i="1"/>
  <c r="H41" i="1" l="1"/>
  <c r="H45" i="1"/>
  <c r="H46" i="1" s="1"/>
  <c r="H42" i="1"/>
  <c r="E26" i="1"/>
  <c r="E27" i="1" s="1"/>
</calcChain>
</file>

<file path=xl/sharedStrings.xml><?xml version="1.0" encoding="utf-8"?>
<sst xmlns="http://schemas.openxmlformats.org/spreadsheetml/2006/main" count="87" uniqueCount="81">
  <si>
    <t>Cuota</t>
  </si>
  <si>
    <t>Centro coste</t>
  </si>
  <si>
    <t>Nombre</t>
  </si>
  <si>
    <t>Fecha firma</t>
  </si>
  <si>
    <t>Años</t>
  </si>
  <si>
    <t>Importe</t>
  </si>
  <si>
    <t>% interés</t>
  </si>
  <si>
    <t>Tipo préstamo</t>
  </si>
  <si>
    <t>Cuotas pagadas</t>
  </si>
  <si>
    <t>Gestión</t>
  </si>
  <si>
    <t>% gestión</t>
  </si>
  <si>
    <t>19% IRPF</t>
  </si>
  <si>
    <t>Día pago</t>
  </si>
  <si>
    <t>Primer pago</t>
  </si>
  <si>
    <t>Importe primer pago</t>
  </si>
  <si>
    <t>Neto</t>
  </si>
  <si>
    <t>Total inversión</t>
  </si>
  <si>
    <t>Segundo pago</t>
  </si>
  <si>
    <t>Días primer pago</t>
  </si>
  <si>
    <t>Días segundo pago</t>
  </si>
  <si>
    <t>Importe segundo pago</t>
  </si>
  <si>
    <t>En adelante</t>
  </si>
  <si>
    <t>firma préstamo</t>
  </si>
  <si>
    <t>Firma CCPP</t>
  </si>
  <si>
    <t>Total</t>
  </si>
  <si>
    <t>Transferido</t>
  </si>
  <si>
    <t>Jerez</t>
  </si>
  <si>
    <t>Operación</t>
  </si>
  <si>
    <t>IRPF</t>
  </si>
  <si>
    <t>Inversión partícipe</t>
  </si>
  <si>
    <t>Prticipación en %</t>
  </si>
  <si>
    <t>Cuota mensual prestatario</t>
  </si>
  <si>
    <t>Sierra Madrid</t>
  </si>
  <si>
    <t>Situación</t>
  </si>
  <si>
    <t>Inversión</t>
  </si>
  <si>
    <t>Importe CCPP</t>
  </si>
  <si>
    <t>Desglose por operación (Resumen)</t>
  </si>
  <si>
    <t>Item</t>
  </si>
  <si>
    <t>Créditos en los que podría colaborar el partícipe</t>
  </si>
  <si>
    <t>Vencimiento
/Cancelación</t>
  </si>
  <si>
    <t>Fecha cancelación</t>
  </si>
  <si>
    <t>Fecha apertura</t>
  </si>
  <si>
    <t xml:space="preserve">Fecha último pago </t>
  </si>
  <si>
    <t>Meses obligado cumplimiento</t>
  </si>
  <si>
    <t>Importe préstamo</t>
  </si>
  <si>
    <t>Participación CCPP</t>
  </si>
  <si>
    <t>% préstamo cancelado</t>
  </si>
  <si>
    <t>Cuota préstamo</t>
  </si>
  <si>
    <t>Interés</t>
  </si>
  <si>
    <t>Bº transferido</t>
  </si>
  <si>
    <t>Retención</t>
  </si>
  <si>
    <t>Bº neto</t>
  </si>
  <si>
    <t>A percibir (principal + última cuota)</t>
  </si>
  <si>
    <t>Parámetros de la operación</t>
  </si>
  <si>
    <t>Días última cuota</t>
  </si>
  <si>
    <t>% participación</t>
  </si>
  <si>
    <t>Última cuota pendiente</t>
  </si>
  <si>
    <t>Gestión (2%)</t>
  </si>
  <si>
    <t>En negrita la información que aparece en el comunicado</t>
  </si>
  <si>
    <t>Particiáción CCPP</t>
  </si>
  <si>
    <t>Última cuota</t>
  </si>
  <si>
    <t>Total a percibir</t>
  </si>
  <si>
    <t>Relación operaciones canceladas</t>
  </si>
  <si>
    <t>Fecha obligado cumplimiento</t>
  </si>
  <si>
    <r>
      <t xml:space="preserve">Transferido </t>
    </r>
    <r>
      <rPr>
        <sz val="9"/>
        <color theme="1"/>
        <rFont val="Calibri"/>
        <family val="2"/>
        <scheme val="minor"/>
      </rPr>
      <t>(651.1)</t>
    </r>
  </si>
  <si>
    <r>
      <t xml:space="preserve">Gestión </t>
    </r>
    <r>
      <rPr>
        <sz val="9"/>
        <color theme="1"/>
        <rFont val="Calibri"/>
        <family val="2"/>
        <scheme val="minor"/>
      </rPr>
      <t>(7511.10)</t>
    </r>
  </si>
  <si>
    <r>
      <t xml:space="preserve">En adelante </t>
    </r>
    <r>
      <rPr>
        <sz val="9"/>
        <color theme="1"/>
        <rFont val="Calibri"/>
        <family val="2"/>
        <scheme val="minor"/>
      </rPr>
      <t>(419.1)</t>
    </r>
  </si>
  <si>
    <r>
      <t xml:space="preserve">19% IRPF </t>
    </r>
    <r>
      <rPr>
        <sz val="9"/>
        <color theme="1"/>
        <rFont val="Calibri"/>
        <family val="2"/>
        <scheme val="minor"/>
      </rPr>
      <t>(473.6)</t>
    </r>
  </si>
  <si>
    <r>
      <t xml:space="preserve">Neto </t>
    </r>
    <r>
      <rPr>
        <sz val="9"/>
        <color theme="1"/>
        <rFont val="Calibri"/>
        <family val="2"/>
        <scheme val="minor"/>
      </rPr>
      <t>(572.7)</t>
    </r>
  </si>
  <si>
    <t>Carencia</t>
  </si>
  <si>
    <t>Días pago 1</t>
  </si>
  <si>
    <t>Días pago 2</t>
  </si>
  <si>
    <t>Saca los datos maestros de "1 - Operaciones de Capital Privado.xlsx"</t>
  </si>
  <si>
    <t>El fichero tiene que estar abierto</t>
  </si>
  <si>
    <t xml:space="preserve">Rentabilidad anualizada </t>
  </si>
  <si>
    <t>% rentabilidad</t>
  </si>
  <si>
    <t>Nota: Estos importes aplican si no se produce ningun impago ni se generan gastos extraordinarios</t>
  </si>
  <si>
    <t>Fecha firma CCPP</t>
  </si>
  <si>
    <t>Prueba 1</t>
  </si>
  <si>
    <t>Americano</t>
  </si>
  <si>
    <t>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</si>
</sst>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\ &quot;A&quot;"/>
    <numFmt numFmtId="166" formatCode="0\ &quot;E&quot;"/>
    <numFmt numFmtId="167" formatCode="0&quot;x&quot;"/>
    <numFmt numFmtId="168" formatCode="0.0%;\(0.0%\);\-"/>
    <numFmt numFmtId="169" formatCode="#,##0.00;\(#,##0.00\);\-"/>
    <numFmt numFmtId="170" formatCode="0.00%;\(0.00%\);\-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4" applyNumberFormat="0" applyAlignment="0" applyProtection="0"/>
    <xf numFmtId="0" fontId="7" fillId="3" borderId="5" applyNumberFormat="0" applyAlignment="0" applyProtection="0"/>
    <xf numFmtId="0" fontId="8" fillId="3" borderId="4" applyNumberFormat="0" applyAlignment="0" applyProtection="0"/>
    <xf numFmtId="0" fontId="9" fillId="0" borderId="6" applyNumberFormat="0" applyFill="0" applyAlignment="0" applyProtection="0"/>
    <xf numFmtId="0" fontId="10" fillId="4" borderId="7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8" applyNumberFormat="0" applyFill="0" applyAlignment="0" applyProtection="0"/>
    <xf numFmtId="0" fontId="14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164" fontId="1" fillId="0" borderId="0" applyFont="0" applyFill="0" applyBorder="0" applyAlignment="0" applyProtection="0"/>
    <xf numFmtId="164" fontId="15" fillId="5" borderId="0" applyNumberFormat="0" applyAlignment="0" applyProtection="0"/>
    <xf numFmtId="164" fontId="10" fillId="30" borderId="0" applyNumberFormat="0" applyAlignment="0" applyProtection="0"/>
    <xf numFmtId="0" fontId="1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31" borderId="9" applyNumberFormat="0" applyAlignment="0" applyProtection="0"/>
    <xf numFmtId="0" fontId="10" fillId="32" borderId="0" applyNumberFormat="0" applyAlignment="0" applyProtection="0"/>
    <xf numFmtId="0" fontId="18" fillId="33" borderId="0" applyNumberFormat="0" applyBorder="0" applyProtection="0">
      <alignment horizontal="centerContinuous"/>
    </xf>
    <xf numFmtId="0" fontId="13" fillId="34" borderId="0" applyNumberFormat="0" applyBorder="0" applyAlignment="0" applyProtection="0"/>
    <xf numFmtId="0" fontId="10" fillId="35" borderId="0" applyNumberFormat="0" applyBorder="0" applyAlignment="0" applyProtection="0"/>
    <xf numFmtId="0" fontId="19" fillId="0" borderId="0" applyNumberFormat="0" applyFill="0" applyBorder="0" applyAlignment="0" applyProtection="0"/>
    <xf numFmtId="0" fontId="10" fillId="30" borderId="10" applyNumberFormat="0" applyAlignment="0" applyProtection="0"/>
    <xf numFmtId="164" fontId="1" fillId="0" borderId="0" applyFont="0" applyFill="0" applyBorder="0" applyAlignment="0" applyProtection="0"/>
    <xf numFmtId="0" fontId="1" fillId="5" borderId="11" applyNumberFormat="0" applyBorder="0" applyAlignment="0" applyProtection="0"/>
  </cellStyleXfs>
  <cellXfs count="72">
    <xf numFmtId="0" fontId="0" fillId="0" borderId="0" xfId="0"/>
    <xf numFmtId="0" fontId="0" fillId="36" borderId="0" xfId="0" applyFill="1"/>
    <xf numFmtId="0" fontId="15" fillId="5" borderId="0" xfId="44" applyNumberFormat="1"/>
    <xf numFmtId="14" fontId="15" fillId="5" borderId="0" xfId="44" applyNumberFormat="1"/>
    <xf numFmtId="10" fontId="15" fillId="5" borderId="0" xfId="44" applyNumberFormat="1"/>
    <xf numFmtId="0" fontId="12" fillId="36" borderId="0" xfId="51" applyFill="1"/>
    <xf numFmtId="169" fontId="13" fillId="36" borderId="0" xfId="0" applyNumberFormat="1" applyFont="1" applyFill="1"/>
    <xf numFmtId="0" fontId="13" fillId="36" borderId="0" xfId="0" applyFont="1" applyFill="1"/>
    <xf numFmtId="0" fontId="18" fillId="33" borderId="0" xfId="54">
      <alignment horizontal="centerContinuous"/>
    </xf>
    <xf numFmtId="169" fontId="13" fillId="36" borderId="0" xfId="59" applyNumberFormat="1" applyFont="1" applyFill="1"/>
    <xf numFmtId="169" fontId="18" fillId="33" borderId="0" xfId="54" applyNumberFormat="1">
      <alignment horizontal="centerContinuous"/>
    </xf>
    <xf numFmtId="0" fontId="13" fillId="36" borderId="0" xfId="0" applyFont="1" applyFill="1" applyAlignment="1">
      <alignment wrapText="1"/>
    </xf>
    <xf numFmtId="0" fontId="13" fillId="0" borderId="0" xfId="0" applyFont="1"/>
    <xf numFmtId="169" fontId="13" fillId="36" borderId="15" xfId="59" applyNumberFormat="1" applyFont="1" applyFill="1" applyBorder="1"/>
    <xf numFmtId="170" fontId="13" fillId="36" borderId="18" xfId="50" applyNumberFormat="1" applyFont="1" applyFill="1" applyBorder="1"/>
    <xf numFmtId="170" fontId="13" fillId="36" borderId="19" xfId="50" applyNumberFormat="1" applyFont="1" applyFill="1" applyBorder="1"/>
    <xf numFmtId="0" fontId="13" fillId="36" borderId="14" xfId="0" applyFont="1" applyFill="1" applyBorder="1"/>
    <xf numFmtId="0" fontId="13" fillId="36" borderId="17" xfId="0" applyFont="1" applyFill="1" applyBorder="1"/>
    <xf numFmtId="0" fontId="11" fillId="0" borderId="0" xfId="60" applyFont="1" applyFill="1" applyBorder="1"/>
    <xf numFmtId="0" fontId="11" fillId="0" borderId="0" xfId="0" applyFont="1"/>
    <xf numFmtId="9" fontId="15" fillId="5" borderId="0" xfId="44" applyNumberFormat="1"/>
    <xf numFmtId="0" fontId="13" fillId="36" borderId="14" xfId="0" applyFont="1" applyFill="1" applyBorder="1" applyAlignment="1">
      <alignment wrapText="1"/>
    </xf>
    <xf numFmtId="14" fontId="0" fillId="36" borderId="15" xfId="0" applyNumberFormat="1" applyFill="1" applyBorder="1"/>
    <xf numFmtId="0" fontId="0" fillId="36" borderId="16" xfId="0" applyFill="1" applyBorder="1"/>
    <xf numFmtId="0" fontId="13" fillId="36" borderId="20" xfId="0" applyFont="1" applyFill="1" applyBorder="1" applyAlignment="1">
      <alignment wrapText="1"/>
    </xf>
    <xf numFmtId="164" fontId="0" fillId="36" borderId="0" xfId="59" applyFont="1" applyFill="1" applyBorder="1"/>
    <xf numFmtId="0" fontId="0" fillId="36" borderId="21" xfId="0" applyFill="1" applyBorder="1"/>
    <xf numFmtId="169" fontId="1" fillId="36" borderId="0" xfId="59" applyNumberFormat="1" applyFont="1" applyFill="1" applyBorder="1"/>
    <xf numFmtId="169" fontId="20" fillId="36" borderId="0" xfId="0" applyNumberFormat="1" applyFont="1" applyFill="1"/>
    <xf numFmtId="0" fontId="13" fillId="36" borderId="20" xfId="0" applyFont="1" applyFill="1" applyBorder="1"/>
    <xf numFmtId="0" fontId="13" fillId="36" borderId="17" xfId="0" applyFont="1" applyFill="1" applyBorder="1" applyAlignment="1">
      <alignment wrapText="1"/>
    </xf>
    <xf numFmtId="169" fontId="1" fillId="36" borderId="18" xfId="59" applyNumberFormat="1" applyFont="1" applyFill="1" applyBorder="1"/>
    <xf numFmtId="169" fontId="13" fillId="36" borderId="21" xfId="0" applyNumberFormat="1" applyFont="1" applyFill="1" applyBorder="1"/>
    <xf numFmtId="169" fontId="13" fillId="36" borderId="19" xfId="0" applyNumberFormat="1" applyFont="1" applyFill="1" applyBorder="1"/>
    <xf numFmtId="169" fontId="13" fillId="36" borderId="16" xfId="0" applyNumberFormat="1" applyFont="1" applyFill="1" applyBorder="1"/>
    <xf numFmtId="0" fontId="10" fillId="30" borderId="22" xfId="58" applyBorder="1" applyAlignment="1">
      <alignment horizontal="right"/>
    </xf>
    <xf numFmtId="0" fontId="13" fillId="36" borderId="21" xfId="0" applyFont="1" applyFill="1" applyBorder="1" applyAlignment="1">
      <alignment horizontal="right"/>
    </xf>
    <xf numFmtId="14" fontId="19" fillId="36" borderId="0" xfId="59" applyNumberFormat="1" applyFont="1" applyFill="1" applyBorder="1"/>
    <xf numFmtId="164" fontId="19" fillId="36" borderId="0" xfId="59" applyFont="1" applyFill="1" applyBorder="1"/>
    <xf numFmtId="170" fontId="0" fillId="36" borderId="18" xfId="50" applyNumberFormat="1" applyFont="1" applyFill="1" applyBorder="1"/>
    <xf numFmtId="0" fontId="19" fillId="36" borderId="0" xfId="58" applyFont="1" applyFill="1" applyBorder="1" applyAlignment="1">
      <alignment horizontal="right"/>
    </xf>
    <xf numFmtId="0" fontId="19" fillId="36" borderId="15" xfId="58" applyFont="1" applyFill="1" applyBorder="1" applyAlignment="1">
      <alignment horizontal="right"/>
    </xf>
    <xf numFmtId="0" fontId="16" fillId="36" borderId="16" xfId="58" applyFont="1" applyFill="1" applyBorder="1" applyAlignment="1">
      <alignment horizontal="right"/>
    </xf>
    <xf numFmtId="164" fontId="13" fillId="36" borderId="21" xfId="0" applyNumberFormat="1" applyFont="1" applyFill="1" applyBorder="1"/>
    <xf numFmtId="169" fontId="19" fillId="36" borderId="0" xfId="59" applyNumberFormat="1" applyFont="1" applyFill="1" applyBorder="1"/>
    <xf numFmtId="0" fontId="16" fillId="36" borderId="21" xfId="58" applyFont="1" applyFill="1" applyBorder="1" applyAlignment="1">
      <alignment horizontal="right"/>
    </xf>
    <xf numFmtId="169" fontId="13" fillId="36" borderId="0" xfId="59" applyNumberFormat="1" applyFont="1" applyFill="1" applyBorder="1"/>
    <xf numFmtId="164" fontId="13" fillId="36" borderId="15" xfId="59" applyFont="1" applyFill="1" applyBorder="1"/>
    <xf numFmtId="0" fontId="10" fillId="30" borderId="12" xfId="58" applyBorder="1" applyAlignment="1">
      <alignment wrapText="1"/>
    </xf>
    <xf numFmtId="0" fontId="10" fillId="30" borderId="22" xfId="58" applyBorder="1" applyAlignment="1">
      <alignment horizontal="left"/>
    </xf>
    <xf numFmtId="164" fontId="15" fillId="5" borderId="0" xfId="44"/>
    <xf numFmtId="14" fontId="21" fillId="5" borderId="0" xfId="44" applyNumberFormat="1" applyFont="1"/>
    <xf numFmtId="164" fontId="21" fillId="5" borderId="0" xfId="44" applyFont="1"/>
    <xf numFmtId="9" fontId="21" fillId="5" borderId="0" xfId="44" applyNumberFormat="1" applyFont="1"/>
    <xf numFmtId="10" fontId="21" fillId="5" borderId="0" xfId="44" applyNumberFormat="1" applyFont="1"/>
    <xf numFmtId="0" fontId="10" fillId="32" borderId="0" xfId="53" applyAlignment="1">
      <alignment horizontal="centerContinuous"/>
    </xf>
    <xf numFmtId="169" fontId="0" fillId="36" borderId="0" xfId="59" applyNumberFormat="1" applyFont="1" applyFill="1"/>
    <xf numFmtId="1" fontId="0" fillId="36" borderId="0" xfId="0" applyNumberFormat="1" applyFill="1"/>
    <xf numFmtId="170" fontId="13" fillId="36" borderId="0" xfId="50" applyNumberFormat="1" applyFont="1" applyFill="1"/>
    <xf numFmtId="4" fontId="13" fillId="36" borderId="0" xfId="0" applyNumberFormat="1" applyFont="1" applyFill="1"/>
    <xf numFmtId="0" fontId="10" fillId="30" borderId="10" xfId="58"/>
    <xf numFmtId="0" fontId="10" fillId="30" borderId="10" xfId="58" applyAlignment="1">
      <alignment horizontal="right"/>
    </xf>
    <xf numFmtId="169" fontId="20" fillId="36" borderId="0" xfId="59" applyNumberFormat="1" applyFont="1" applyFill="1" applyBorder="1"/>
    <xf numFmtId="164" fontId="0" fillId="36" borderId="0" xfId="43" applyFont="1" applyFill="1" applyBorder="1"/>
    <xf numFmtId="14" fontId="0" fillId="36" borderId="0" xfId="0" applyNumberFormat="1" applyFill="1"/>
    <xf numFmtId="14" fontId="19" fillId="36" borderId="0" xfId="44" applyNumberFormat="1" applyFont="1" applyFill="1"/>
    <xf numFmtId="0" fontId="11" fillId="36" borderId="0" xfId="0" applyFont="1" applyFill="1"/>
    <xf numFmtId="1" fontId="0" fillId="36" borderId="0" xfId="44" applyNumberFormat="1" applyFont="1" applyFill="1"/>
    <xf numFmtId="169" fontId="15" fillId="5" borderId="13" xfId="44" applyNumberFormat="1" applyBorder="1"/>
    <xf numFmtId="164" fontId="0" fillId="36" borderId="0" xfId="44" applyNumberFormat="1" applyFont="1" applyFill="1"/>
    <xf numFmtId="0" fontId="0" fillId="36" borderId="0" xfId="44" applyNumberFormat="1" applyFont="1" applyFill="1"/>
    <xf numFmtId="164" fontId="15" fillId="5" borderId="0" xfId="44" applyNumberFormat="1"/>
  </cellXfs>
  <cellStyles count="61">
    <cellStyle name="(0.000)" xfId="59" xr:uid="{360A8815-3031-C74A-BE38-C64C70964821}"/>
    <cellStyle name="0x" xfId="49" xr:uid="{C4D2F5BE-2797-2241-9F16-3312A6A0E693}"/>
    <cellStyle name="20% - Énfasis1" xfId="20" builtinId="30" hidden="1"/>
    <cellStyle name="20% - Énfasis2" xfId="24" builtinId="34" hidden="1"/>
    <cellStyle name="20% - Énfasis3" xfId="28" builtinId="38" hidden="1"/>
    <cellStyle name="20% - Énfasis4" xfId="32" builtinId="42" hidden="1"/>
    <cellStyle name="20% - Énfasis5" xfId="36" builtinId="46" hidden="1"/>
    <cellStyle name="20% - Énfasis6" xfId="40" builtinId="50" hidden="1"/>
    <cellStyle name="40% - Énfasis1" xfId="21" builtinId="31" hidden="1"/>
    <cellStyle name="40% - Énfasis2" xfId="25" builtinId="35" hidden="1"/>
    <cellStyle name="40% - Énfasis3" xfId="29" builtinId="39" hidden="1"/>
    <cellStyle name="40% - Énfasis4" xfId="33" builtinId="43" hidden="1"/>
    <cellStyle name="40% - Énfasis5" xfId="37" builtinId="47" hidden="1"/>
    <cellStyle name="40% - Énfasis6" xfId="41" builtinId="51" hidden="1"/>
    <cellStyle name="60% - Énfasis1" xfId="22" builtinId="32" hidden="1"/>
    <cellStyle name="60% - Énfasis2" xfId="26" builtinId="36" hidden="1"/>
    <cellStyle name="60% - Énfasis3" xfId="30" builtinId="40" hidden="1"/>
    <cellStyle name="60% - Énfasis4" xfId="34" builtinId="44" hidden="1"/>
    <cellStyle name="60% - Énfasis5" xfId="38" builtinId="48" hidden="1"/>
    <cellStyle name="60% - Énfasis6" xfId="42" builtinId="52" hidden="1"/>
    <cellStyle name="Actual" xfId="47" xr:uid="{1AE5DA5B-8577-1E41-9C25-4BFDC633CDA0}"/>
    <cellStyle name="Cálculo" xfId="13" builtinId="22" hidden="1"/>
    <cellStyle name="Celda de comprobación" xfId="15" builtinId="23" hidden="1"/>
    <cellStyle name="Celda vinculada" xfId="14" builtinId="24" hidden="1"/>
    <cellStyle name="Edición" xfId="44" xr:uid="{C7E9FA89-6C32-4948-AACC-6E719B3BB6DD}"/>
    <cellStyle name="Encabezado 1" xfId="7" builtinId="16" hidden="1"/>
    <cellStyle name="Encabezado 4" xfId="10" builtinId="19" hidden="1"/>
    <cellStyle name="Énfasis1" xfId="19" builtinId="29" hidden="1"/>
    <cellStyle name="Énfasis2" xfId="23" builtinId="33" hidden="1"/>
    <cellStyle name="Énfasis3" xfId="27" builtinId="37" hidden="1"/>
    <cellStyle name="Énfasis4" xfId="31" builtinId="41" hidden="1"/>
    <cellStyle name="Énfasis5" xfId="35" builtinId="45" hidden="1"/>
    <cellStyle name="Énfasis6" xfId="39" builtinId="49" hidden="1"/>
    <cellStyle name="Entrada" xfId="11" builtinId="20" hidden="1"/>
    <cellStyle name="Estimate" xfId="48" xr:uid="{CEA57298-B115-1048-BD3B-BEE65D4FDFAD}"/>
    <cellStyle name="Importado" xfId="46" xr:uid="{81BECCC5-E4E2-DD41-8AA7-98D9064B219C}"/>
    <cellStyle name="Millares" xfId="1" builtinId="3" hidden="1"/>
    <cellStyle name="Millares" xfId="43" xr:uid="{4CB3B6F5-CDEA-5B4A-9725-4544E6C3E959}"/>
    <cellStyle name="Millares [0]" xfId="2" builtinId="6" hidden="1"/>
    <cellStyle name="Moneda" xfId="3" builtinId="4" hidden="1"/>
    <cellStyle name="Moneda [0]" xfId="4" builtinId="7" hidden="1"/>
    <cellStyle name="Normal" xfId="0" builtinId="0"/>
    <cellStyle name="Notas" xfId="60" builtinId="10" customBuiltin="1"/>
    <cellStyle name="Porcentaje" xfId="5" builtinId="5" hidden="1"/>
    <cellStyle name="Porcentaje" xfId="50" xr:uid="{8CFD7DDB-57D2-A747-8106-9DA6F23A44BA}"/>
    <cellStyle name="Ratio" xfId="51" xr:uid="{5F885D09-6C27-D040-AE01-46E7C0994C53}"/>
    <cellStyle name="Referencia" xfId="57" xr:uid="{719B5A24-A0C5-6846-8C01-9C891358188C}"/>
    <cellStyle name="Revisar" xfId="55" xr:uid="{D9057262-D2EE-5142-909B-861008F12610}"/>
    <cellStyle name="Salida" xfId="12" builtinId="21" hidden="1"/>
    <cellStyle name="Seguir aquí" xfId="56" xr:uid="{EDAB289F-CF0A-4947-8E16-927D39093D92}"/>
    <cellStyle name="Subtítulo" xfId="53" xr:uid="{B5245067-A6D1-814A-BB61-87C8937CB0F3}"/>
    <cellStyle name="Subtotal" xfId="52" xr:uid="{B4AC952D-E62E-1448-B86A-A65F58828772}"/>
    <cellStyle name="Super título" xfId="54" xr:uid="{3492EC00-70CB-6343-9106-E67591F5E68A}"/>
    <cellStyle name="Texto de advertencia" xfId="16" builtinId="11" hidden="1"/>
    <cellStyle name="Texto explicativo" xfId="17" builtinId="53" hidden="1"/>
    <cellStyle name="Tit. column." xfId="58" xr:uid="{78E2E715-A7CD-6F4D-B9B4-013548B402F8}"/>
    <cellStyle name="Título" xfId="6" builtinId="15" hidden="1"/>
    <cellStyle name="Título" xfId="45" xr:uid="{EAA398EC-365D-5647-B14F-EC2ADA6B15C4}"/>
    <cellStyle name="Título 2" xfId="8" builtinId="17" hidden="1"/>
    <cellStyle name="Título 3" xfId="9" builtinId="18" hidden="1"/>
    <cellStyle name="Total" xfId="18" builtinId="25" hidden="1"/>
  </cellStyles>
  <dxfs count="2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19" formatCode="d/m/yy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;\(#,##0\);\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0;\(#,##0.00\);\-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#,##0.00;\(#,##0.00\);\-"/>
      <fill>
        <patternFill patternType="solid">
          <fgColor indexed="64"/>
          <bgColor theme="0"/>
        </patternFill>
      </fill>
    </dxf>
    <dxf>
      <numFmt numFmtId="14" formatCode="0.00%"/>
    </dxf>
    <dxf>
      <numFmt numFmtId="0" formatCode="General"/>
    </dxf>
    <dxf>
      <numFmt numFmtId="19" formatCode="d/m/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numFmt numFmtId="169" formatCode="#,##0.00;\(#,##0.00\);\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;\(#,##0\);\-"/>
      <fill>
        <patternFill patternType="solid">
          <fgColor indexed="64"/>
          <bgColor theme="0"/>
        </patternFill>
      </fill>
    </dxf>
    <dxf>
      <numFmt numFmtId="169" formatCode="#,##0.00;\(#,##0.00\);\-"/>
    </dxf>
    <dxf>
      <numFmt numFmtId="169" formatCode="#,##0.00;\(#,##0.00\);\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#,##0.00;\(#,##0.00\);\-"/>
    </dxf>
    <dxf>
      <numFmt numFmtId="164" formatCode="#,##0;\(#,##0\);\-"/>
    </dxf>
    <dxf>
      <numFmt numFmtId="19" formatCode="d/m/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19" formatCode="d/m/yy"/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rcismagrinabalcells/Dropbox/1%20-%20OFICINA/1-PROMOCIMA/02-CAPITAL%20PRIVADO/01%20-%20Operaciones/1%20-%20Operaciones%20de%20Capital%20Privado.xlsx" TargetMode="External"/><Relationship Id="rId1" Type="http://schemas.openxmlformats.org/officeDocument/2006/relationships/externalLinkPath" Target="/Users/narcismagrinabalcells/Dropbox/1%20-%20OFICINA/1-PROMOCIMA/02-CAPITAL%20PRIVADO/01%20-%20Operaciones/1%20-%20Operaciones%20de%20Capital%20Priv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Préstamos"/>
      <sheetName val="Tabla Partícipes"/>
      <sheetName val="Tabla Participación CCPP"/>
      <sheetName val="Participación en Préstamos"/>
      <sheetName val="Resumen participación CCPP"/>
      <sheetName val="Evolución"/>
      <sheetName val="Datos gráficos"/>
      <sheetName val="Particulares"/>
      <sheetName val="Empresas"/>
      <sheetName val="Total"/>
      <sheetName val="1 - Operaciones de Capital Priv"/>
    </sheetNames>
    <sheetDataSet>
      <sheetData sheetId="0">
        <row r="2">
          <cell r="C2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11A89-19AB-E443-B9FB-68612A74C675}" name="T_Operaciones" displayName="T_Operaciones" ref="B4:T5" headerRowDxfId="27" totalsRowDxfId="24" headerRowBorderDxfId="26" tableBorderDxfId="25" headerRowCellStyle="Tit. column." dataCellStyle="Edición">
  <autoFilter ref="B4:T5" xr:uid="{DC911A89-19AB-E443-B9FB-68612A74C675}"/>
  <sortState xmlns:xlrd2="http://schemas.microsoft.com/office/spreadsheetml/2017/richdata2" ref="B2:R4">
    <sortCondition ref="B4"/>
  </sortState>
  <tableColumns count="19">
    <tableColumn id="1" xr3:uid="{BAB2BC59-C6E4-2140-8A23-8A95DEBC6B7E}" name="Centro coste" totalsRowLabel="Total" dataDxfId="23" dataCellStyle="Edición"/>
    <tableColumn id="2" xr3:uid="{7490EEC7-8679-7E43-9120-2BD8C64CA0B3}" name="Nombre" dataDxfId="22" dataCellStyle="Edición">
      <calculatedColumnFormula>VLOOKUP(T_Operaciones[[#This Row],[Centro coste]],[1]!T_Prestamos[[Centro coste]:[Prestatario]],'[1]Tabla Préstamos'!$C$2,FALSE)</calculatedColumnFormula>
    </tableColumn>
    <tableColumn id="3" xr3:uid="{F696000C-6B82-094B-B065-1D7D603CAC8A}" name="firma préstamo" dataDxfId="21" dataCellStyle="Edición">
      <calculatedColumnFormula>VLOOKUP(T_Operaciones[[#This Row],[Centro coste]],[1]!T_Prestamos[[Centro coste]:[Prestatario]],'[1]Tabla Préstamos'!$D$2,FALSE)</calculatedColumnFormula>
    </tableColumn>
    <tableColumn id="4" xr3:uid="{5F7EA065-87AB-364A-AFA0-737407834933}" name="Años" dataDxfId="20" dataCellStyle="Edición">
      <calculatedColumnFormula>VLOOKUP(T_Operaciones[[#This Row],[Centro coste]],[1]!T_Prestamos[[Centro coste]:[Prestatario]],'[1]Tabla Préstamos'!$E$2,FALSE)</calculatedColumnFormula>
    </tableColumn>
    <tableColumn id="12" xr3:uid="{EF269C03-D5B3-334C-A791-0CE5346DBEA4}" name="Cuotas pagadas" dataDxfId="19" dataCellStyle="Edición">
      <calculatedColumnFormula>DATEDIF(T_Operaciones[[#This Row],[firma préstamo]],IF(T_Operaciones[[#This Row],[Fecha cancelación]]="",TODAY(),T_Operaciones[[#This Row],[Fecha cancelación]]),"M")</calculatedColumnFormula>
    </tableColumn>
    <tableColumn id="5" xr3:uid="{905899E4-94AB-6140-8D43-4F9D0ABA8DB4}" name="Vencimiento_x000a_/Cancelación" dataDxfId="18">
      <calculatedColumnFormula>DATE(YEAR(D5)+E5,MONTH(D5),DAY(D5))</calculatedColumnFormula>
    </tableColumn>
    <tableColumn id="6" xr3:uid="{9C076FB3-8C2B-2444-B9E9-6A2DFFCE8BD0}" name="Importe" dataDxfId="17" totalsRowDxfId="16" dataCellStyle="Edición">
      <calculatedColumnFormula>VLOOKUP(T_Operaciones[[#This Row],[Centro coste]],[1]!T_Prestamos[[Centro coste]:[Prestatario]],'[1]Tabla Préstamos'!$F$2,FALSE)</calculatedColumnFormula>
    </tableColumn>
    <tableColumn id="16" xr3:uid="{ACE7B2DF-DF2D-0943-B053-B8F87868E827}" name="Importe CCPP" dataDxfId="15" totalsRowDxfId="14" dataCellStyle="Edición"/>
    <tableColumn id="10" xr3:uid="{05CC5696-29EC-6A47-B81C-AD5087EF502C}" name="Carencia" dataDxfId="13" totalsRowDxfId="12" dataCellStyle="Edición">
      <calculatedColumnFormula>IF(T_Operaciones[[#This Row],[Tipo préstamo]]="Americano",T_Operaciones[[#This Row],[Años]]*12-1,0)</calculatedColumnFormula>
    </tableColumn>
    <tableColumn id="13" xr3:uid="{6F1E8D9C-3D28-F940-A215-B38D48973AA5}" name="Día pago" dataDxfId="11" dataCellStyle="Edición">
      <calculatedColumnFormula>DAY(T_Operaciones[[#This Row],[Vencimiento
/Cancelación]])</calculatedColumnFormula>
    </tableColumn>
    <tableColumn id="19" xr3:uid="{DBEC6EE8-15F0-6E48-8961-7392EB3A8005}" name="Firma CCPP" dataDxfId="10" dataCellStyle="Edición">
      <calculatedColumnFormula>#REF!</calculatedColumnFormula>
    </tableColumn>
    <tableColumn id="15" xr3:uid="{A705F4CB-8CB7-1942-9A33-BF0BC732D8B6}" name="% gestión" dataDxfId="9" dataCellStyle="Edición"/>
    <tableColumn id="9" xr3:uid="{3E218C19-4B22-9F4D-94A1-AE241DAC96C3}" name="% interés" dataDxfId="8" dataCellStyle="Edición">
      <calculatedColumnFormula>VLOOKUP(T_Operaciones[[#This Row],[Centro coste]],[1]!T_Prestamos[[Centro coste]:[Prestatario]],'[1]Tabla Préstamos'!$G$2,FALSE)</calculatedColumnFormula>
    </tableColumn>
    <tableColumn id="11" xr3:uid="{6E442782-3005-3F4B-91B1-67F5BFB1F935}" name="Cuota" dataDxfId="7" dataCellStyle="(0.000)">
      <calculatedColumnFormula>IF(T_Operaciones[[#This Row],[Tipo préstamo]]="Americano",T_Operaciones[[#This Row],[Importe]]*T_Operaciones[[#This Row],[% interés]]/12,-ROUND(PMT(T_Operaciones[[#This Row],[% interés]]/12,T_Operaciones[[#This Row],[Años]]*12-T_Operaciones[[#This Row],[Carencia]],T_Operaciones[[#This Row],[Importe]]),2))</calculatedColumnFormula>
    </tableColumn>
    <tableColumn id="17" xr3:uid="{EDA28C03-4CFD-EC48-8EBD-01E76DC78FC9}" name="Días pago 1" dataDxfId="6" dataCellStyle="Millares">
      <calculatedColumnFormula>IF(T_Operaciones[[#This Row],[Firma CCPP]]="",0,IF(T_Operaciones[[#This Row],[Día pago]]&gt;DAY(T_Operaciones[[#This Row],[Firma CCPP]]),T_Operaciones[[#This Row],[Día pago]]-DAY(T_Operaciones[[#This Row],[Firma CCPP]]),0))</calculatedColumnFormula>
    </tableColumn>
    <tableColumn id="18" xr3:uid="{52927C0E-4052-C344-9781-25E356976F75}" name="Días pago 2" dataDxfId="5" dataCellStyle="Millares">
      <calculatedColumnFormula>IF(T_Operaciones[[#This Row],[Firma CCPP]]="",0,IF(DAY(T_Operaciones[[#This Row],[Firma CCPP]])&gt;T_Operaciones[[#This Row],[Día pago]],30-DAY(T_Operaciones[[#This Row],[Firma CCPP]])+T_Operaciones[[#This Row],[Día pago]],30))</calculatedColumnFormula>
    </tableColumn>
    <tableColumn id="7" xr3:uid="{AE55CCC2-5D0E-A540-B67C-0FEC4CE3F248}" name="Tipo préstamo" dataDxfId="4" dataCellStyle="Edición">
      <calculatedColumnFormula>VLOOKUP(T_Operaciones[[#This Row],[Centro coste]],[1]!T_Prestamos[[Centro coste]:[Prestatario]],'[1]Tabla Préstamos'!$L$2,FALSE)</calculatedColumnFormula>
    </tableColumn>
    <tableColumn id="14" xr3:uid="{94C30C65-8C3B-EB4E-8B5A-46A968253CB0}" name="Situación" dataDxfId="3" totalsRowDxfId="2" dataCellStyle="Edición">
      <calculatedColumnFormula>VLOOKUP(T_Operaciones[[#This Row],[Centro coste]],[1]!T_Prestamos[[Centro coste]:[Prestatario]],'[1]Tabla Préstamos'!$N$2,FALSE)</calculatedColumnFormula>
    </tableColumn>
    <tableColumn id="20" xr3:uid="{3A07FEED-C2AC-9C4F-8937-B4B29B14EA01}" name="Fecha cancelación" dataDxfId="1" totalsRowDxfId="0" dataCellStyle="Edición">
      <calculatedColumnFormula>IF(T_Operaciones[[#This Row],[Situación]]="Activa","",VLOOKUP(T_Operaciones[[#This Row],[Centro coste]],[1]!T_Prestamos[[Centro coste]:[Prestatario]],'[1]Tabla Préstamos'!$O$2,FALSE))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57CB-41D9-0649-B313-73BD565DE982}">
  <dimension ref="B1:X48"/>
  <sheetViews>
    <sheetView showGridLines="0" tabSelected="1" zoomScaleNormal="100" workbookViewId="0">
      <selection activeCell="D39" sqref="D39"/>
    </sheetView>
  </sheetViews>
  <sheetFormatPr baseColWidth="10" defaultColWidth="10.83203125" defaultRowHeight="16" x14ac:dyDescent="0.2"/>
  <cols>
    <col min="1" max="1" width="3.33203125" style="1" customWidth="1"/>
    <col min="2" max="2" width="8.83203125" style="1" customWidth="1"/>
    <col min="3" max="3" width="41.6640625" style="1" customWidth="1"/>
    <col min="4" max="8" width="14" style="1" customWidth="1"/>
    <col min="9" max="9" width="14" customWidth="1"/>
    <col min="10" max="10" width="13.6640625" customWidth="1"/>
    <col min="11" max="11" width="11.5" style="1" customWidth="1"/>
    <col min="12" max="12" width="10.33203125" style="1" bestFit="1" customWidth="1"/>
    <col min="13" max="13" width="9.1640625" style="1" customWidth="1"/>
    <col min="14" max="14" width="9.33203125" style="1" customWidth="1"/>
    <col min="15" max="15" width="11.6640625" style="1" customWidth="1"/>
    <col min="16" max="16" width="13" customWidth="1"/>
    <col min="17" max="17" width="15.33203125" style="1" customWidth="1"/>
    <col min="18" max="18" width="14.5" style="1" customWidth="1"/>
    <col min="19" max="19" width="11" style="1" customWidth="1"/>
    <col min="20" max="20" width="14.6640625" style="1" customWidth="1"/>
    <col min="21" max="16384" width="10.83203125" style="1"/>
  </cols>
  <sheetData>
    <row r="1" spans="2:24" s="5" customFormat="1" x14ac:dyDescent="0.2"/>
    <row r="2" spans="2:24" x14ac:dyDescent="0.2">
      <c r="B2" s="5">
        <f>COLUMN()-1</f>
        <v>1</v>
      </c>
      <c r="C2" s="5">
        <f t="shared" ref="C2:R2" si="0">COLUMN()-1</f>
        <v>2</v>
      </c>
      <c r="D2" s="5">
        <f t="shared" si="0"/>
        <v>3</v>
      </c>
      <c r="E2" s="5">
        <f t="shared" si="0"/>
        <v>4</v>
      </c>
      <c r="F2" s="5">
        <f t="shared" si="0"/>
        <v>5</v>
      </c>
      <c r="G2" s="5">
        <f t="shared" si="0"/>
        <v>6</v>
      </c>
      <c r="H2" s="5">
        <f t="shared" si="0"/>
        <v>7</v>
      </c>
      <c r="I2" s="5">
        <f t="shared" si="0"/>
        <v>8</v>
      </c>
      <c r="J2" s="5">
        <f t="shared" si="0"/>
        <v>9</v>
      </c>
      <c r="K2" s="5">
        <f t="shared" si="0"/>
        <v>10</v>
      </c>
      <c r="L2" s="5">
        <f t="shared" si="0"/>
        <v>11</v>
      </c>
      <c r="M2" s="5">
        <f t="shared" si="0"/>
        <v>12</v>
      </c>
      <c r="N2" s="5">
        <f t="shared" si="0"/>
        <v>13</v>
      </c>
      <c r="O2" s="5">
        <f t="shared" si="0"/>
        <v>14</v>
      </c>
      <c r="P2" s="5">
        <f t="shared" si="0"/>
        <v>15</v>
      </c>
      <c r="Q2" s="5">
        <f t="shared" si="0"/>
        <v>16</v>
      </c>
      <c r="R2" s="5">
        <f t="shared" si="0"/>
        <v>17</v>
      </c>
      <c r="S2" s="1">
        <v>18</v>
      </c>
      <c r="T2" s="1">
        <v>19</v>
      </c>
    </row>
    <row r="3" spans="2:24" s="5" customFormat="1" ht="19" x14ac:dyDescent="0.25">
      <c r="B3" s="8" t="s">
        <v>38</v>
      </c>
      <c r="C3" s="8"/>
      <c r="D3" s="8"/>
      <c r="E3" s="8"/>
      <c r="F3" s="8"/>
      <c r="G3" s="8"/>
      <c r="H3" s="1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2:24" ht="34" x14ac:dyDescent="0.2">
      <c r="B4" s="48" t="s">
        <v>1</v>
      </c>
      <c r="C4" s="48" t="s">
        <v>2</v>
      </c>
      <c r="D4" s="48" t="s">
        <v>22</v>
      </c>
      <c r="E4" s="48" t="s">
        <v>4</v>
      </c>
      <c r="F4" s="48" t="s">
        <v>8</v>
      </c>
      <c r="G4" s="48" t="s">
        <v>39</v>
      </c>
      <c r="H4" s="48" t="s">
        <v>5</v>
      </c>
      <c r="I4" s="48" t="s">
        <v>35</v>
      </c>
      <c r="J4" s="48" t="s">
        <v>69</v>
      </c>
      <c r="K4" s="48" t="s">
        <v>12</v>
      </c>
      <c r="L4" s="48" t="s">
        <v>23</v>
      </c>
      <c r="M4" s="48" t="s">
        <v>10</v>
      </c>
      <c r="N4" s="48" t="s">
        <v>6</v>
      </c>
      <c r="O4" s="48" t="s">
        <v>0</v>
      </c>
      <c r="P4" s="48" t="s">
        <v>70</v>
      </c>
      <c r="Q4" s="48" t="s">
        <v>71</v>
      </c>
      <c r="R4" s="48" t="s">
        <v>7</v>
      </c>
      <c r="S4" s="48" t="s">
        <v>33</v>
      </c>
      <c r="T4" s="48" t="s">
        <v>40</v>
      </c>
    </row>
    <row r="5" spans="2:24" x14ac:dyDescent="0.2">
      <c r="B5" s="2">
        <v>2056</v>
      </c>
      <c r="C5" s="2" t="s">
        <v>78</v>
      </c>
      <c r="D5" s="3">
        <v>45470</v>
      </c>
      <c r="E5" s="2">
        <v>10</v>
      </c>
      <c r="F5" s="67">
        <f ca="1">DATEDIF(T_Operaciones[[#This Row],[firma préstamo]],IF(T_Operaciones[[#This Row],[Fecha cancelación]]="",TODAY(),T_Operaciones[[#This Row],[Fecha cancelación]]),"M")</f>
        <v>20</v>
      </c>
      <c r="G5" s="64">
        <f>DATE(YEAR(D5)+E5,MONTH(D5),DAY(D5))</f>
        <v>49122</v>
      </c>
      <c r="H5" s="71">
        <v>100000</v>
      </c>
      <c r="I5" s="68">
        <v>20000</v>
      </c>
      <c r="J5" s="69">
        <f>IF(T_Operaciones[[#This Row],[Tipo préstamo]]="Americano",T_Operaciones[[#This Row],[Años]]*12-1,0)</f>
        <v>119</v>
      </c>
      <c r="K5" s="70">
        <f>DAY(T_Operaciones[[#This Row],[Vencimiento
/Cancelación]])</f>
        <v>27</v>
      </c>
      <c r="L5" s="3">
        <v>45975</v>
      </c>
      <c r="M5" s="4">
        <v>0.02</v>
      </c>
      <c r="N5" s="4">
        <v>0.12</v>
      </c>
      <c r="O5" s="62">
        <f>IF(T_Operaciones[[#This Row],[Tipo préstamo]]="Americano",T_Operaciones[[#This Row],[Importe]]*T_Operaciones[[#This Row],[% interés]]/12,-ROUND(PMT(T_Operaciones[[#This Row],[% interés]]/12,T_Operaciones[[#This Row],[Años]]*12-T_Operaciones[[#This Row],[Carencia]],T_Operaciones[[#This Row],[Importe]]),2))</f>
        <v>1000</v>
      </c>
      <c r="P5" s="63">
        <f>IF(T_Operaciones[[#This Row],[Firma CCPP]]="",0,IF(T_Operaciones[[#This Row],[Día pago]]&gt;DAY(T_Operaciones[[#This Row],[Firma CCPP]]),T_Operaciones[[#This Row],[Día pago]]-DAY(T_Operaciones[[#This Row],[Firma CCPP]]),0))</f>
        <v>13</v>
      </c>
      <c r="Q5" s="63">
        <f>IF(T_Operaciones[[#This Row],[Firma CCPP]]="",0,IF(DAY(T_Operaciones[[#This Row],[Firma CCPP]])&gt;T_Operaciones[[#This Row],[Día pago]],30-DAY(T_Operaciones[[#This Row],[Firma CCPP]])+T_Operaciones[[#This Row],[Día pago]],30))</f>
        <v>30</v>
      </c>
      <c r="R5" s="2" t="s">
        <v>79</v>
      </c>
      <c r="S5" s="2" t="s">
        <v>80</v>
      </c>
      <c r="T5" s="65" t="str">
        <f>IF(T_Operaciones[[#This Row],[Situación]]="Activa","",VLOOKUP(T_Operaciones[[#This Row],[Centro coste]],[1]!T_Prestamos[[Centro coste]:[Prestatario]],'[1]Tabla Préstamos'!$O$2,FALSE))</f>
        <v/>
      </c>
    </row>
    <row r="6" spans="2:24" x14ac:dyDescent="0.2">
      <c r="B6" s="66" t="s">
        <v>72</v>
      </c>
      <c r="K6"/>
      <c r="L6"/>
      <c r="M6"/>
      <c r="N6"/>
      <c r="O6"/>
      <c r="Q6"/>
      <c r="R6"/>
    </row>
    <row r="7" spans="2:24" x14ac:dyDescent="0.2">
      <c r="B7" s="66" t="s">
        <v>73</v>
      </c>
      <c r="C7" s="66"/>
      <c r="D7" s="66"/>
      <c r="K7"/>
      <c r="L7"/>
      <c r="M7"/>
      <c r="N7"/>
      <c r="O7"/>
      <c r="Q7"/>
      <c r="R7"/>
    </row>
    <row r="8" spans="2:24" x14ac:dyDescent="0.2">
      <c r="K8"/>
      <c r="L8"/>
      <c r="M8"/>
      <c r="N8"/>
      <c r="O8"/>
      <c r="Q8"/>
      <c r="R8"/>
      <c r="U8"/>
      <c r="V8"/>
      <c r="W8"/>
      <c r="X8"/>
    </row>
    <row r="9" spans="2:24" ht="19" x14ac:dyDescent="0.25">
      <c r="C9" s="8" t="s">
        <v>36</v>
      </c>
      <c r="D9" s="8"/>
      <c r="E9" s="8"/>
      <c r="F9" s="8"/>
      <c r="G9" s="8"/>
      <c r="K9"/>
      <c r="L9"/>
      <c r="M9"/>
      <c r="N9"/>
      <c r="O9"/>
      <c r="Q9"/>
      <c r="R9"/>
      <c r="S9"/>
      <c r="T9"/>
    </row>
    <row r="10" spans="2:24" ht="17" thickBot="1" x14ac:dyDescent="0.25">
      <c r="C10" s="49" t="s">
        <v>37</v>
      </c>
      <c r="D10" s="35">
        <v>2056</v>
      </c>
      <c r="E10" s="35">
        <v>2061</v>
      </c>
      <c r="F10" s="35">
        <v>2062</v>
      </c>
      <c r="G10" s="35">
        <v>2063</v>
      </c>
      <c r="H10" s="35" t="s">
        <v>24</v>
      </c>
      <c r="I10" s="1"/>
      <c r="K10"/>
      <c r="L10"/>
      <c r="M10"/>
      <c r="N10"/>
      <c r="O10"/>
    </row>
    <row r="11" spans="2:24" x14ac:dyDescent="0.2">
      <c r="C11" s="16" t="s">
        <v>27</v>
      </c>
      <c r="D11" s="41" t="str">
        <f>VLOOKUP(D$10,T_Operaciones[],$C$2)</f>
        <v>Prueba 1</v>
      </c>
      <c r="E11" s="41" t="str">
        <f>VLOOKUP(E$10,T_Operaciones[],$C$2)</f>
        <v>Prueba 1</v>
      </c>
      <c r="F11" s="41" t="str">
        <f>VLOOKUP(F$10,T_Operaciones[],$C$2)</f>
        <v>Prueba 1</v>
      </c>
      <c r="G11" s="41" t="str">
        <f>VLOOKUP(G$10,T_Operaciones[],$C$2)</f>
        <v>Prueba 1</v>
      </c>
      <c r="H11" s="42"/>
      <c r="I11" s="1"/>
      <c r="K11"/>
      <c r="L11"/>
      <c r="M11"/>
      <c r="N11"/>
      <c r="O11"/>
    </row>
    <row r="12" spans="2:24" x14ac:dyDescent="0.2">
      <c r="C12" s="29" t="s">
        <v>33</v>
      </c>
      <c r="D12" s="40" t="str">
        <f>VLOOKUP(D$10,T_Operaciones[],$S$2)</f>
        <v>Activa</v>
      </c>
      <c r="E12" s="40" t="str">
        <f>VLOOKUP(E$10,T_Operaciones[],$S$2)</f>
        <v>Activa</v>
      </c>
      <c r="F12" s="40" t="str">
        <f>VLOOKUP(F$10,T_Operaciones[],$S$2)</f>
        <v>Activa</v>
      </c>
      <c r="G12" s="40" t="str">
        <f>VLOOKUP(G$10,T_Operaciones[],$S$2)</f>
        <v>Activa</v>
      </c>
      <c r="H12" s="45"/>
      <c r="I12" s="1"/>
      <c r="K12"/>
      <c r="L12"/>
      <c r="M12"/>
      <c r="N12"/>
      <c r="O12"/>
    </row>
    <row r="13" spans="2:24" x14ac:dyDescent="0.2">
      <c r="C13" s="29" t="s">
        <v>3</v>
      </c>
      <c r="D13" s="37">
        <f>VLOOKUP(D$10,T_Operaciones[],$L$2)</f>
        <v>45975</v>
      </c>
      <c r="E13" s="37">
        <f>VLOOKUP(E$10,T_Operaciones[],$L$2)</f>
        <v>45975</v>
      </c>
      <c r="F13" s="37">
        <f>VLOOKUP(F$10,T_Operaciones[],$L$2)</f>
        <v>45975</v>
      </c>
      <c r="G13" s="37">
        <f>VLOOKUP(G$10,T_Operaciones[],$L$2)</f>
        <v>45975</v>
      </c>
      <c r="H13" s="36"/>
      <c r="I13" s="1"/>
      <c r="K13"/>
      <c r="L13"/>
      <c r="M13"/>
      <c r="N13"/>
      <c r="O13"/>
    </row>
    <row r="14" spans="2:24" x14ac:dyDescent="0.2">
      <c r="C14" s="29" t="s">
        <v>16</v>
      </c>
      <c r="D14" s="38">
        <f>VLOOKUP(D$10,T_Operaciones[],$H$2)</f>
        <v>100000</v>
      </c>
      <c r="E14" s="38">
        <f>VLOOKUP(E$10,T_Operaciones[],$H$2)</f>
        <v>100000</v>
      </c>
      <c r="F14" s="38">
        <f>VLOOKUP(F$10,T_Operaciones[],$H$2)</f>
        <v>100000</v>
      </c>
      <c r="G14" s="38">
        <f>VLOOKUP(G$10,T_Operaciones[],$H$2)</f>
        <v>100000</v>
      </c>
      <c r="H14" s="43"/>
      <c r="I14" s="1"/>
      <c r="K14"/>
      <c r="L14"/>
      <c r="M14"/>
      <c r="N14"/>
      <c r="O14"/>
    </row>
    <row r="15" spans="2:24" x14ac:dyDescent="0.2">
      <c r="C15" s="29" t="s">
        <v>31</v>
      </c>
      <c r="D15" s="44">
        <f>VLOOKUP(D$10,T_Operaciones[],$O$2)</f>
        <v>1000</v>
      </c>
      <c r="E15" s="44">
        <f>VLOOKUP(E$10,T_Operaciones[],$O$2)</f>
        <v>1000</v>
      </c>
      <c r="F15" s="44">
        <f>VLOOKUP(F$10,T_Operaciones[],$O$2)</f>
        <v>1000</v>
      </c>
      <c r="G15" s="44">
        <f>VLOOKUP(G$10,T_Operaciones[],$O$2)</f>
        <v>1000</v>
      </c>
      <c r="H15" s="43"/>
      <c r="I15" s="1"/>
      <c r="K15"/>
      <c r="L15"/>
      <c r="P15" s="1"/>
    </row>
    <row r="16" spans="2:24" x14ac:dyDescent="0.2">
      <c r="C16" s="29"/>
      <c r="D16" s="44"/>
      <c r="E16" s="44"/>
      <c r="F16" s="44"/>
      <c r="G16" s="44"/>
      <c r="H16" s="43"/>
      <c r="I16" s="1"/>
      <c r="K16"/>
      <c r="L16"/>
      <c r="P16" s="1"/>
    </row>
    <row r="17" spans="2:16" x14ac:dyDescent="0.2">
      <c r="C17" s="29" t="s">
        <v>77</v>
      </c>
      <c r="D17" s="37">
        <f>VLOOKUP(D$10,T_Operaciones[],$L$2)</f>
        <v>45975</v>
      </c>
      <c r="E17" s="37">
        <f>VLOOKUP(E$10,T_Operaciones[],$L$2)</f>
        <v>45975</v>
      </c>
      <c r="F17" s="37">
        <f>VLOOKUP(F$10,T_Operaciones[],$L$2)</f>
        <v>45975</v>
      </c>
      <c r="G17" s="37">
        <f>VLOOKUP(G$10,T_Operaciones[],$L$2)</f>
        <v>45975</v>
      </c>
      <c r="H17" s="43"/>
      <c r="I17" s="1"/>
      <c r="J17" s="1"/>
      <c r="P17" s="1"/>
    </row>
    <row r="18" spans="2:16" x14ac:dyDescent="0.2">
      <c r="C18" s="29" t="s">
        <v>29</v>
      </c>
      <c r="D18" s="38">
        <f>VLOOKUP(D$10,T_Operaciones[],$I$2)</f>
        <v>20000</v>
      </c>
      <c r="E18" s="38">
        <f>VLOOKUP(E$10,T_Operaciones[],$I$2)</f>
        <v>20000</v>
      </c>
      <c r="F18" s="38">
        <f>VLOOKUP(F$10,T_Operaciones[],$I$2)</f>
        <v>20000</v>
      </c>
      <c r="G18" s="38">
        <f>VLOOKUP(G$10,T_Operaciones[],$I$2)</f>
        <v>20000</v>
      </c>
      <c r="H18" s="43"/>
      <c r="I18" s="1"/>
      <c r="J18" s="1"/>
      <c r="P18" s="1"/>
    </row>
    <row r="19" spans="2:16" ht="17" thickBot="1" x14ac:dyDescent="0.25">
      <c r="C19" s="17" t="s">
        <v>30</v>
      </c>
      <c r="D19" s="39">
        <f t="shared" ref="D19" si="1">D18/D14</f>
        <v>0.2</v>
      </c>
      <c r="E19" s="39">
        <f t="shared" ref="E19:G19" si="2">E18/E14</f>
        <v>0.2</v>
      </c>
      <c r="F19" s="39">
        <f t="shared" si="2"/>
        <v>0.2</v>
      </c>
      <c r="G19" s="39">
        <f t="shared" si="2"/>
        <v>0.2</v>
      </c>
      <c r="H19" s="15"/>
      <c r="I19" s="1"/>
      <c r="J19" s="1"/>
      <c r="P19" s="1"/>
    </row>
    <row r="20" spans="2:16" ht="17" thickBot="1" x14ac:dyDescent="0.25">
      <c r="C20" s="7"/>
      <c r="D20" s="12"/>
      <c r="E20" s="12"/>
      <c r="F20" s="12"/>
      <c r="G20" s="12"/>
      <c r="I20" s="1"/>
      <c r="J20" s="1"/>
      <c r="P20" s="1"/>
    </row>
    <row r="21" spans="2:16" ht="17" x14ac:dyDescent="0.2">
      <c r="C21" s="21" t="s">
        <v>13</v>
      </c>
      <c r="D21" s="22">
        <f>DATE(YEAR(D$13+30),MONTH(D$13+30),10)</f>
        <v>46001</v>
      </c>
      <c r="E21" s="22">
        <f>DATE(YEAR(E$13+30),MONTH(E$13+30),10)</f>
        <v>46001</v>
      </c>
      <c r="F21" s="22">
        <f>DATE(YEAR(F$13+30),MONTH(F$13+30),10)</f>
        <v>46001</v>
      </c>
      <c r="G21" s="22">
        <f>DATE(YEAR(G$13+30),MONTH(G$13+30),10)</f>
        <v>46001</v>
      </c>
      <c r="H21" s="23"/>
      <c r="I21" s="1"/>
      <c r="J21" s="1"/>
      <c r="P21" s="1"/>
    </row>
    <row r="22" spans="2:16" ht="17" x14ac:dyDescent="0.2">
      <c r="C22" s="24" t="s">
        <v>18</v>
      </c>
      <c r="D22" s="25">
        <f>VLOOKUP(D$10,T_Operaciones[],$P$2)</f>
        <v>13</v>
      </c>
      <c r="E22" s="25">
        <f>VLOOKUP(E$10,T_Operaciones[],$P$2)</f>
        <v>13</v>
      </c>
      <c r="F22" s="25">
        <f>VLOOKUP(F$10,T_Operaciones[],$P$2)</f>
        <v>13</v>
      </c>
      <c r="G22" s="25">
        <f>VLOOKUP(G$10,T_Operaciones[],$P$2)</f>
        <v>13</v>
      </c>
      <c r="H22" s="26"/>
      <c r="I22" s="1"/>
      <c r="J22" s="1"/>
      <c r="P22" s="1"/>
    </row>
    <row r="23" spans="2:16" ht="17" x14ac:dyDescent="0.2">
      <c r="C23" s="24" t="s">
        <v>25</v>
      </c>
      <c r="D23" s="27">
        <f>ROUND(D$38*D22/30,2)</f>
        <v>86.67</v>
      </c>
      <c r="E23" s="27">
        <f>ROUND(E$38*E22/30,2)</f>
        <v>86.67</v>
      </c>
      <c r="F23" s="27">
        <f t="shared" ref="F23" si="3">ROUND(F$38*F22/30,2)</f>
        <v>86.67</v>
      </c>
      <c r="G23" s="27">
        <f t="shared" ref="G23" si="4">ROUND(G$38*G22/30,2)</f>
        <v>86.67</v>
      </c>
      <c r="H23" s="26"/>
      <c r="I23" s="1"/>
      <c r="J23" s="1"/>
      <c r="P23" s="1"/>
    </row>
    <row r="24" spans="2:16" ht="17" x14ac:dyDescent="0.2">
      <c r="C24" s="24" t="s">
        <v>9</v>
      </c>
      <c r="D24" s="27">
        <f>ROUND(D$39*D22/30,2)</f>
        <v>14.44</v>
      </c>
      <c r="E24" s="27">
        <f>ROUND(E$39*E22/30,2)</f>
        <v>14.44</v>
      </c>
      <c r="F24" s="27">
        <f t="shared" ref="F24" si="5">ROUND(F$39*F22/30,2)</f>
        <v>14.44</v>
      </c>
      <c r="G24" s="27">
        <f t="shared" ref="G24" si="6">ROUND(G$39*G22/30,2)</f>
        <v>14.44</v>
      </c>
      <c r="H24" s="32"/>
      <c r="I24" s="1"/>
      <c r="J24" s="1"/>
      <c r="P24" s="1"/>
    </row>
    <row r="25" spans="2:16" ht="17" x14ac:dyDescent="0.2">
      <c r="C25" s="24" t="s">
        <v>14</v>
      </c>
      <c r="D25" s="28">
        <f t="shared" ref="D25" si="7">(D23-D24)</f>
        <v>72.23</v>
      </c>
      <c r="E25" s="28">
        <f t="shared" ref="E25:G25" si="8">(E23-E24)</f>
        <v>72.23</v>
      </c>
      <c r="F25" s="28">
        <f t="shared" si="8"/>
        <v>72.23</v>
      </c>
      <c r="G25" s="28">
        <f t="shared" si="8"/>
        <v>72.23</v>
      </c>
      <c r="H25" s="32"/>
      <c r="I25" s="1"/>
      <c r="J25" s="1"/>
      <c r="P25" s="1"/>
    </row>
    <row r="26" spans="2:16" x14ac:dyDescent="0.2">
      <c r="B26" s="20">
        <v>0.19</v>
      </c>
      <c r="C26" s="29" t="s">
        <v>28</v>
      </c>
      <c r="D26" s="27">
        <f>ROUND(-D25*$B$26,2)</f>
        <v>-13.72</v>
      </c>
      <c r="E26" s="27">
        <f>ROUND(-E25*$B$26,2)</f>
        <v>-13.72</v>
      </c>
      <c r="F26" s="27">
        <f>ROUND(-F25*$B$26,2)</f>
        <v>-13.72</v>
      </c>
      <c r="G26" s="27">
        <f>ROUND(-G25*$B$26,2)</f>
        <v>-13.72</v>
      </c>
      <c r="H26" s="32"/>
      <c r="I26" s="1"/>
      <c r="J26" s="1"/>
      <c r="P26" s="1"/>
    </row>
    <row r="27" spans="2:16" ht="18" thickBot="1" x14ac:dyDescent="0.25">
      <c r="C27" s="30" t="s">
        <v>15</v>
      </c>
      <c r="D27" s="31">
        <f t="shared" ref="D27" si="9">D25+D26</f>
        <v>58.510000000000005</v>
      </c>
      <c r="E27" s="31">
        <f t="shared" ref="E27:G27" si="10">E25+E26</f>
        <v>58.510000000000005</v>
      </c>
      <c r="F27" s="31">
        <f t="shared" si="10"/>
        <v>58.510000000000005</v>
      </c>
      <c r="G27" s="31">
        <f t="shared" si="10"/>
        <v>58.510000000000005</v>
      </c>
      <c r="H27" s="33"/>
      <c r="I27" s="1"/>
      <c r="J27" s="1"/>
      <c r="P27" s="1"/>
    </row>
    <row r="28" spans="2:16" ht="17" thickBot="1" x14ac:dyDescent="0.25">
      <c r="C28" s="7"/>
      <c r="D28" s="7"/>
      <c r="E28" s="7"/>
      <c r="F28" s="7"/>
      <c r="G28" s="7"/>
      <c r="I28" s="1"/>
      <c r="J28" s="1"/>
      <c r="P28" s="1"/>
    </row>
    <row r="29" spans="2:16" ht="17" x14ac:dyDescent="0.2">
      <c r="C29" s="21" t="s">
        <v>17</v>
      </c>
      <c r="D29" s="22">
        <f t="shared" ref="D29:E29" si="11">EOMONTH(D21,0)+10</f>
        <v>46032</v>
      </c>
      <c r="E29" s="22">
        <f t="shared" si="11"/>
        <v>46032</v>
      </c>
      <c r="F29" s="22">
        <f t="shared" ref="F29" si="12">EOMONTH(F21,0)+10</f>
        <v>46032</v>
      </c>
      <c r="G29" s="22">
        <f t="shared" ref="G29" si="13">EOMONTH(G21,0)+10</f>
        <v>46032</v>
      </c>
      <c r="H29" s="23"/>
      <c r="I29" s="1"/>
      <c r="J29" s="1"/>
      <c r="P29" s="1"/>
    </row>
    <row r="30" spans="2:16" ht="17" x14ac:dyDescent="0.2">
      <c r="C30" s="24" t="s">
        <v>19</v>
      </c>
      <c r="D30" s="25">
        <f>VLOOKUP(D$10,T_Operaciones[],$Q$2)</f>
        <v>30</v>
      </c>
      <c r="E30" s="25">
        <f>VLOOKUP(E$10,T_Operaciones[],$Q$2)</f>
        <v>30</v>
      </c>
      <c r="F30" s="25">
        <f>VLOOKUP(F$10,T_Operaciones[],$Q$2)</f>
        <v>30</v>
      </c>
      <c r="G30" s="25">
        <f>VLOOKUP(G$10,T_Operaciones[],$Q$2)</f>
        <v>30</v>
      </c>
      <c r="H30" s="26"/>
      <c r="I30" s="1"/>
      <c r="J30" s="1"/>
      <c r="P30" s="1"/>
    </row>
    <row r="31" spans="2:16" ht="17" x14ac:dyDescent="0.2">
      <c r="C31" s="24" t="s">
        <v>25</v>
      </c>
      <c r="D31" s="27">
        <f>ROUND(D$38*D30/30,2)</f>
        <v>200</v>
      </c>
      <c r="E31" s="27">
        <f>ROUND(E$38*E30/30,2)</f>
        <v>200</v>
      </c>
      <c r="F31" s="27">
        <f t="shared" ref="F31" si="14">ROUND(F$38*F30/30,2)</f>
        <v>200</v>
      </c>
      <c r="G31" s="27">
        <f t="shared" ref="G31" si="15">ROUND(G$38*G30/30,2)</f>
        <v>200</v>
      </c>
      <c r="H31" s="26"/>
      <c r="I31" s="1"/>
      <c r="J31" s="1"/>
      <c r="P31" s="1"/>
    </row>
    <row r="32" spans="2:16" ht="17" x14ac:dyDescent="0.2">
      <c r="C32" s="24" t="s">
        <v>9</v>
      </c>
      <c r="D32" s="27">
        <f>ROUND(D$39*D30/30,2)</f>
        <v>33.33</v>
      </c>
      <c r="E32" s="27">
        <f>ROUND(E$39*E30/30,2)</f>
        <v>33.33</v>
      </c>
      <c r="F32" s="27">
        <f t="shared" ref="F32" si="16">ROUND(F$39*F30/30,2)</f>
        <v>33.33</v>
      </c>
      <c r="G32" s="27">
        <f t="shared" ref="G32" si="17">ROUND(G$39*G30/30,2)</f>
        <v>33.33</v>
      </c>
      <c r="H32" s="32"/>
      <c r="I32" s="1"/>
      <c r="J32" s="1"/>
      <c r="P32" s="1"/>
    </row>
    <row r="33" spans="3:16" ht="17" x14ac:dyDescent="0.2">
      <c r="C33" s="24" t="s">
        <v>20</v>
      </c>
      <c r="D33" s="28">
        <f t="shared" ref="D33" si="18">(D31-D32)</f>
        <v>166.67000000000002</v>
      </c>
      <c r="E33" s="28">
        <f t="shared" ref="E33:G33" si="19">(E31-E32)</f>
        <v>166.67000000000002</v>
      </c>
      <c r="F33" s="28">
        <f t="shared" si="19"/>
        <v>166.67000000000002</v>
      </c>
      <c r="G33" s="28">
        <f t="shared" si="19"/>
        <v>166.67000000000002</v>
      </c>
      <c r="H33" s="32"/>
      <c r="I33" s="1"/>
      <c r="J33" s="1"/>
      <c r="K33"/>
      <c r="M33"/>
      <c r="P33" s="1"/>
    </row>
    <row r="34" spans="3:16" x14ac:dyDescent="0.2">
      <c r="C34" s="29" t="s">
        <v>11</v>
      </c>
      <c r="D34" s="27">
        <f>ROUND(-D33*$B$26,2)</f>
        <v>-31.67</v>
      </c>
      <c r="E34" s="27">
        <f>ROUND(-E33*$B$26,2)</f>
        <v>-31.67</v>
      </c>
      <c r="F34" s="27">
        <f>ROUND(-F33*$B$26,2)</f>
        <v>-31.67</v>
      </c>
      <c r="G34" s="27">
        <f>ROUND(-G33*$B$26,2)</f>
        <v>-31.67</v>
      </c>
      <c r="H34" s="32"/>
      <c r="I34" s="1"/>
      <c r="J34" s="1"/>
      <c r="K34"/>
      <c r="M34"/>
      <c r="P34" s="1"/>
    </row>
    <row r="35" spans="3:16" ht="18" thickBot="1" x14ac:dyDescent="0.25">
      <c r="C35" s="30" t="s">
        <v>15</v>
      </c>
      <c r="D35" s="31">
        <f t="shared" ref="D35" si="20">D33+D34</f>
        <v>135</v>
      </c>
      <c r="E35" s="31">
        <f t="shared" ref="E35:G35" si="21">E33+E34</f>
        <v>135</v>
      </c>
      <c r="F35" s="31">
        <f t="shared" si="21"/>
        <v>135</v>
      </c>
      <c r="G35" s="31">
        <f t="shared" si="21"/>
        <v>135</v>
      </c>
      <c r="H35" s="33"/>
      <c r="I35" s="1"/>
      <c r="J35" s="1"/>
      <c r="K35"/>
      <c r="P35" s="1"/>
    </row>
    <row r="36" spans="3:16" ht="17" thickBot="1" x14ac:dyDescent="0.25">
      <c r="C36" s="11"/>
      <c r="D36" s="9"/>
      <c r="E36" s="9"/>
      <c r="F36" s="9"/>
      <c r="G36" s="9"/>
      <c r="H36" s="6"/>
      <c r="I36" s="1"/>
      <c r="J36" s="1"/>
      <c r="P36" s="1"/>
    </row>
    <row r="37" spans="3:16" ht="17" x14ac:dyDescent="0.2">
      <c r="C37" s="21" t="s">
        <v>21</v>
      </c>
      <c r="D37" s="13"/>
      <c r="E37" s="13"/>
      <c r="F37" s="13"/>
      <c r="G37" s="13"/>
      <c r="H37" s="34"/>
      <c r="I37" s="1"/>
      <c r="J37" s="1"/>
      <c r="P37" s="1"/>
    </row>
    <row r="38" spans="3:16" ht="17" x14ac:dyDescent="0.2">
      <c r="C38" s="24" t="s">
        <v>64</v>
      </c>
      <c r="D38" s="27">
        <f t="shared" ref="D38:E38" si="22">ROUND(D15*D19,2)</f>
        <v>200</v>
      </c>
      <c r="E38" s="27">
        <f t="shared" si="22"/>
        <v>200</v>
      </c>
      <c r="F38" s="27">
        <f t="shared" ref="F38" si="23">ROUND(F15*F19,2)</f>
        <v>200</v>
      </c>
      <c r="G38" s="27">
        <f t="shared" ref="G38" si="24">ROUND(G15*G19,2)</f>
        <v>200</v>
      </c>
      <c r="H38" s="32">
        <f>SUMIFS(E38:G38,$E$12:$G$12,"Activa")</f>
        <v>600</v>
      </c>
      <c r="I38" s="1"/>
      <c r="J38" s="1"/>
      <c r="P38" s="1"/>
    </row>
    <row r="39" spans="3:16" ht="17" x14ac:dyDescent="0.2">
      <c r="C39" s="24" t="s">
        <v>65</v>
      </c>
      <c r="D39" s="27">
        <f t="shared" ref="D39:E39" si="25">ROUND(D18*2%/12,2)</f>
        <v>33.33</v>
      </c>
      <c r="E39" s="27">
        <f t="shared" si="25"/>
        <v>33.33</v>
      </c>
      <c r="F39" s="27">
        <f t="shared" ref="F39" si="26">ROUND(F18*2%/12,2)</f>
        <v>33.33</v>
      </c>
      <c r="G39" s="27">
        <f t="shared" ref="G39" si="27">ROUND(G18*2%/12,2)</f>
        <v>33.33</v>
      </c>
      <c r="H39" s="32">
        <f>SUMIFS(E39:G39,$E$12:$G$12,"Activa")</f>
        <v>99.99</v>
      </c>
      <c r="I39" s="1"/>
      <c r="J39" s="1"/>
      <c r="K39"/>
      <c r="P39" s="1"/>
    </row>
    <row r="40" spans="3:16" x14ac:dyDescent="0.2">
      <c r="C40" s="29" t="s">
        <v>66</v>
      </c>
      <c r="D40" s="28">
        <f t="shared" ref="D40" si="28">D38-D39</f>
        <v>166.67000000000002</v>
      </c>
      <c r="E40" s="28">
        <f t="shared" ref="E40:G40" si="29">E38-E39</f>
        <v>166.67000000000002</v>
      </c>
      <c r="F40" s="28">
        <f t="shared" si="29"/>
        <v>166.67000000000002</v>
      </c>
      <c r="G40" s="28">
        <f t="shared" si="29"/>
        <v>166.67000000000002</v>
      </c>
      <c r="H40" s="32">
        <f>SUMIFS(E40:G40,$E$12:$G$12,"Activa")</f>
        <v>500.01000000000005</v>
      </c>
      <c r="I40" s="1"/>
      <c r="J40" s="1"/>
      <c r="K40"/>
      <c r="P40" s="1"/>
    </row>
    <row r="41" spans="3:16" x14ac:dyDescent="0.2">
      <c r="C41" s="29" t="s">
        <v>67</v>
      </c>
      <c r="D41" s="27">
        <f>ROUND(-D40*$B$26,2)</f>
        <v>-31.67</v>
      </c>
      <c r="E41" s="27">
        <f>ROUND(-E40*$B$26,2)</f>
        <v>-31.67</v>
      </c>
      <c r="F41" s="27">
        <f>ROUND(-F40*$B$26,2)</f>
        <v>-31.67</v>
      </c>
      <c r="G41" s="27">
        <f>ROUND(-G40*$B$26,2)</f>
        <v>-31.67</v>
      </c>
      <c r="H41" s="32">
        <f>SUMIFS(E41:G41,$E$12:$G$12,"Activa")</f>
        <v>-95.01</v>
      </c>
      <c r="I41" s="1"/>
      <c r="J41" s="1"/>
      <c r="K41"/>
      <c r="P41" s="1"/>
    </row>
    <row r="42" spans="3:16" ht="18" thickBot="1" x14ac:dyDescent="0.25">
      <c r="C42" s="30" t="s">
        <v>68</v>
      </c>
      <c r="D42" s="31">
        <f t="shared" ref="D42:E42" si="30">D40+D41</f>
        <v>135</v>
      </c>
      <c r="E42" s="31">
        <f t="shared" si="30"/>
        <v>135</v>
      </c>
      <c r="F42" s="31">
        <f t="shared" ref="F42" si="31">F40+F41</f>
        <v>135</v>
      </c>
      <c r="G42" s="31">
        <f t="shared" ref="G42" si="32">G40+G41</f>
        <v>135</v>
      </c>
      <c r="H42" s="33">
        <f>SUMIFS(E42:G42,$E$12:$G$12,"Activa")</f>
        <v>405</v>
      </c>
      <c r="I42" s="1"/>
      <c r="J42" s="1"/>
      <c r="K42"/>
      <c r="P42" s="1"/>
    </row>
    <row r="43" spans="3:16" ht="17" thickBot="1" x14ac:dyDescent="0.25">
      <c r="C43" s="7"/>
      <c r="I43" s="1"/>
      <c r="J43" s="1"/>
      <c r="P43" s="1"/>
    </row>
    <row r="44" spans="3:16" x14ac:dyDescent="0.2">
      <c r="C44" s="16" t="s">
        <v>34</v>
      </c>
      <c r="D44" s="47">
        <f t="shared" ref="D44:E44" si="33">D18</f>
        <v>20000</v>
      </c>
      <c r="E44" s="47">
        <f t="shared" si="33"/>
        <v>20000</v>
      </c>
      <c r="F44" s="47">
        <f t="shared" ref="F44" si="34">F18</f>
        <v>20000</v>
      </c>
      <c r="G44" s="47">
        <f t="shared" ref="G44" si="35">G18</f>
        <v>20000</v>
      </c>
      <c r="H44" s="34">
        <f>SUMIFS(E44:G44,$E$12:$G$12,"Activa")</f>
        <v>60000</v>
      </c>
      <c r="I44" s="1"/>
      <c r="J44" s="1"/>
      <c r="K44"/>
      <c r="P44" s="1"/>
    </row>
    <row r="45" spans="3:16" x14ac:dyDescent="0.2">
      <c r="C45" s="29" t="s">
        <v>74</v>
      </c>
      <c r="D45" s="46">
        <f t="shared" ref="D45:E45" si="36">IF(D12="Cancelado",0,D40*12)</f>
        <v>2000.0400000000002</v>
      </c>
      <c r="E45" s="46">
        <f t="shared" si="36"/>
        <v>2000.0400000000002</v>
      </c>
      <c r="F45" s="46">
        <f t="shared" ref="F45" si="37">IF(F12="Cancelado",0,F40*12)</f>
        <v>2000.0400000000002</v>
      </c>
      <c r="G45" s="46">
        <f t="shared" ref="G45" si="38">IF(G12="Cancelado",0,G40*12)</f>
        <v>2000.0400000000002</v>
      </c>
      <c r="H45" s="32">
        <f>SUMIFS(E45:G45,$E$12:$G$12,"Activa")</f>
        <v>6000.1200000000008</v>
      </c>
      <c r="I45" s="1"/>
      <c r="J45" s="1"/>
      <c r="K45"/>
      <c r="P45" s="1"/>
    </row>
    <row r="46" spans="3:16" ht="17" thickBot="1" x14ac:dyDescent="0.25">
      <c r="C46" s="17" t="s">
        <v>75</v>
      </c>
      <c r="D46" s="14">
        <f t="shared" ref="D46" si="39">D45/D18</f>
        <v>0.10000200000000001</v>
      </c>
      <c r="E46" s="14">
        <f t="shared" ref="E46:G46" si="40">E45/E18</f>
        <v>0.10000200000000001</v>
      </c>
      <c r="F46" s="14">
        <f t="shared" si="40"/>
        <v>0.10000200000000001</v>
      </c>
      <c r="G46" s="14">
        <f t="shared" si="40"/>
        <v>0.10000200000000001</v>
      </c>
      <c r="H46" s="15">
        <f>H45/H44</f>
        <v>0.10000200000000001</v>
      </c>
      <c r="I46" s="1"/>
      <c r="J46" s="1"/>
      <c r="K46"/>
      <c r="P46" s="1"/>
    </row>
    <row r="48" spans="3:16" x14ac:dyDescent="0.2">
      <c r="C48" s="18" t="s">
        <v>76</v>
      </c>
      <c r="D48" s="18"/>
      <c r="E48" s="19"/>
      <c r="F48" s="19"/>
      <c r="G48" s="19"/>
      <c r="H48" s="19"/>
      <c r="I48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4024-0398-BA4C-B3A8-C1794ECD92E8}">
  <dimension ref="B2:D31"/>
  <sheetViews>
    <sheetView showGridLines="0" workbookViewId="0">
      <selection activeCell="K20" sqref="K20"/>
    </sheetView>
  </sheetViews>
  <sheetFormatPr baseColWidth="10" defaultRowHeight="16" x14ac:dyDescent="0.2"/>
  <cols>
    <col min="2" max="2" width="37" customWidth="1"/>
    <col min="4" max="4" width="13.33203125" customWidth="1"/>
  </cols>
  <sheetData>
    <row r="2" spans="2:4" ht="19" x14ac:dyDescent="0.25">
      <c r="B2" s="8" t="s">
        <v>62</v>
      </c>
      <c r="C2" s="8"/>
      <c r="D2" s="8"/>
    </row>
    <row r="4" spans="2:4" x14ac:dyDescent="0.2">
      <c r="B4" s="55" t="s">
        <v>53</v>
      </c>
      <c r="C4" s="55"/>
      <c r="D4" s="55"/>
    </row>
    <row r="5" spans="2:4" x14ac:dyDescent="0.2">
      <c r="B5" s="60" t="s">
        <v>37</v>
      </c>
      <c r="C5" s="61" t="s">
        <v>26</v>
      </c>
      <c r="D5" s="61" t="s">
        <v>32</v>
      </c>
    </row>
    <row r="6" spans="2:4" x14ac:dyDescent="0.2">
      <c r="B6" s="7" t="s">
        <v>41</v>
      </c>
      <c r="C6" s="51"/>
      <c r="D6" s="51"/>
    </row>
    <row r="7" spans="2:4" x14ac:dyDescent="0.2">
      <c r="B7" s="7" t="s">
        <v>40</v>
      </c>
      <c r="C7" s="51"/>
      <c r="D7" s="51"/>
    </row>
    <row r="8" spans="2:4" x14ac:dyDescent="0.2">
      <c r="B8" s="1" t="s">
        <v>42</v>
      </c>
      <c r="C8" s="3"/>
      <c r="D8" s="3"/>
    </row>
    <row r="9" spans="2:4" x14ac:dyDescent="0.2">
      <c r="B9" s="1" t="s">
        <v>43</v>
      </c>
      <c r="C9" s="50"/>
      <c r="D9" s="50"/>
    </row>
    <row r="10" spans="2:4" x14ac:dyDescent="0.2">
      <c r="B10" s="1" t="s">
        <v>63</v>
      </c>
      <c r="C10" s="50"/>
      <c r="D10" s="51"/>
    </row>
    <row r="11" spans="2:4" x14ac:dyDescent="0.2">
      <c r="B11" s="7" t="s">
        <v>44</v>
      </c>
      <c r="C11" s="52"/>
      <c r="D11" s="52"/>
    </row>
    <row r="12" spans="2:4" x14ac:dyDescent="0.2">
      <c r="B12" s="7" t="s">
        <v>46</v>
      </c>
      <c r="C12" s="53"/>
      <c r="D12" s="53"/>
    </row>
    <row r="13" spans="2:4" x14ac:dyDescent="0.2">
      <c r="B13" s="1" t="s">
        <v>54</v>
      </c>
      <c r="C13" s="57">
        <f>IF(C7-C8=31,30,C7-C8)</f>
        <v>0</v>
      </c>
      <c r="D13" s="1">
        <f>IF(D10-D8&gt;30,ROUND((D10-D8)/30,0)*30,D10-D8)</f>
        <v>0</v>
      </c>
    </row>
    <row r="14" spans="2:4" x14ac:dyDescent="0.2">
      <c r="B14" s="7" t="s">
        <v>48</v>
      </c>
      <c r="C14" s="54"/>
      <c r="D14" s="54"/>
    </row>
    <row r="15" spans="2:4" x14ac:dyDescent="0.2">
      <c r="B15" s="1" t="s">
        <v>47</v>
      </c>
      <c r="C15" s="56">
        <f>ROUND(C11*C14/12,2)</f>
        <v>0</v>
      </c>
      <c r="D15" s="56">
        <f>ROUND(D11*D14/12,2)</f>
        <v>0</v>
      </c>
    </row>
    <row r="16" spans="2:4" x14ac:dyDescent="0.2">
      <c r="B16" s="1" t="s">
        <v>56</v>
      </c>
      <c r="C16" s="56">
        <f>C15/30*C13</f>
        <v>0</v>
      </c>
      <c r="D16" s="56">
        <f>D15/30*D13</f>
        <v>0</v>
      </c>
    </row>
    <row r="17" spans="2:4" x14ac:dyDescent="0.2">
      <c r="B17" s="1" t="s">
        <v>57</v>
      </c>
      <c r="C17" s="1">
        <f>ROUND(C11*2%/12/30*C13,2)</f>
        <v>0</v>
      </c>
      <c r="D17" s="1">
        <f>ROUND(D11*2%/12/30*D13,2)</f>
        <v>0</v>
      </c>
    </row>
    <row r="19" spans="2:4" x14ac:dyDescent="0.2">
      <c r="B19" s="55" t="s">
        <v>59</v>
      </c>
      <c r="C19" s="55"/>
      <c r="D19" s="55"/>
    </row>
    <row r="20" spans="2:4" x14ac:dyDescent="0.2">
      <c r="B20" s="7" t="s">
        <v>45</v>
      </c>
      <c r="C20" s="50"/>
      <c r="D20" s="50"/>
    </row>
    <row r="21" spans="2:4" x14ac:dyDescent="0.2">
      <c r="B21" s="7" t="s">
        <v>55</v>
      </c>
      <c r="C21" s="58" t="e">
        <f>C20/C11</f>
        <v>#DIV/0!</v>
      </c>
      <c r="D21" s="58" t="e">
        <f>D20/D11</f>
        <v>#DIV/0!</v>
      </c>
    </row>
    <row r="23" spans="2:4" x14ac:dyDescent="0.2">
      <c r="B23" s="55" t="s">
        <v>60</v>
      </c>
      <c r="C23" s="55"/>
      <c r="D23" s="55"/>
    </row>
    <row r="24" spans="2:4" x14ac:dyDescent="0.2">
      <c r="B24" s="7" t="s">
        <v>49</v>
      </c>
      <c r="C24" s="9" t="e">
        <f>ROUND((C16-C17)*C21,2)</f>
        <v>#DIV/0!</v>
      </c>
      <c r="D24" s="9" t="e">
        <f>ROUND((D16-D17)*D21,2)</f>
        <v>#DIV/0!</v>
      </c>
    </row>
    <row r="25" spans="2:4" x14ac:dyDescent="0.2">
      <c r="B25" s="7" t="s">
        <v>50</v>
      </c>
      <c r="C25" s="9" t="e">
        <f>ROUND(-C24*0.19,2)</f>
        <v>#DIV/0!</v>
      </c>
      <c r="D25" s="9" t="e">
        <f>ROUND(-D24*0.19,2)</f>
        <v>#DIV/0!</v>
      </c>
    </row>
    <row r="26" spans="2:4" x14ac:dyDescent="0.2">
      <c r="B26" s="7" t="s">
        <v>51</v>
      </c>
      <c r="C26" s="9" t="e">
        <f>C24+C25</f>
        <v>#DIV/0!</v>
      </c>
      <c r="D26" s="9" t="e">
        <f>D24+D25</f>
        <v>#DIV/0!</v>
      </c>
    </row>
    <row r="28" spans="2:4" x14ac:dyDescent="0.2">
      <c r="B28" s="55" t="s">
        <v>61</v>
      </c>
      <c r="C28" s="55"/>
      <c r="D28" s="55"/>
    </row>
    <row r="29" spans="2:4" x14ac:dyDescent="0.2">
      <c r="B29" s="7" t="s">
        <v>52</v>
      </c>
      <c r="C29" s="59" t="e">
        <f>C26+C20</f>
        <v>#DIV/0!</v>
      </c>
      <c r="D29" s="59" t="e">
        <f>D26+D20</f>
        <v>#DIV/0!</v>
      </c>
    </row>
    <row r="31" spans="2:4" x14ac:dyDescent="0.2">
      <c r="B31" s="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Préstamos participados</vt:lpstr>
      <vt:lpstr>Cancelaciones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Narcís Promocima</dc:creator>
  <cp:lastModifiedBy>Narcís Magriñà</cp:lastModifiedBy>
  <dcterms:created xsi:type="dcterms:W3CDTF">2023-03-02T20:57:13Z</dcterms:created>
  <dcterms:modified xsi:type="dcterms:W3CDTF">2026-02-28T10:04:48Z</dcterms:modified>
</cp:coreProperties>
</file>