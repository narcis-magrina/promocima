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rcismagrinabalcells/Dropbox/1 - OFICINA/1-PROMOCIMA/02-CAPITAL PRIVADO/30 - Desarrollo/Préstamos/Claude Pro/promocima/documentación/"/>
    </mc:Choice>
  </mc:AlternateContent>
  <xr:revisionPtr revIDLastSave="0" documentId="13_ncr:1_{CCB80AD0-1A5C-3B43-93C9-F845C2B68714}" xr6:coauthVersionLast="47" xr6:coauthVersionMax="47" xr10:uidLastSave="{00000000-0000-0000-0000-000000000000}"/>
  <bookViews>
    <workbookView xWindow="26220" yWindow="4500" windowWidth="25960" windowHeight="22120" activeTab="2" xr2:uid="{7DA0983C-EA6B-584E-90AC-C5A5D261DBFA}"/>
  </bookViews>
  <sheets>
    <sheet name="Préstamos participados" sheetId="1" r:id="rId1"/>
    <sheet name="Cancelaciones" sheetId="9" r:id="rId2"/>
    <sheet name="Hoja1" sheetId="10" r:id="rId3"/>
  </sheets>
  <externalReferences>
    <externalReference r:id="rId4"/>
    <externalReference r:id="rId5"/>
  </externalReferences>
  <definedNames>
    <definedName name="Dia_Firma">'Préstamos participados'!#REF!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7" i="10" l="1"/>
  <c r="E14" i="10"/>
  <c r="E10" i="10"/>
  <c r="G17" i="10"/>
  <c r="H17" i="10" s="1"/>
  <c r="C17" i="10"/>
  <c r="T5" i="1"/>
  <c r="G5" i="1"/>
  <c r="K5" i="1" s="1"/>
  <c r="P5" i="1" s="1"/>
  <c r="B18" i="10" l="1"/>
  <c r="D12" i="1"/>
  <c r="J5" i="1"/>
  <c r="F5" i="1"/>
  <c r="Q5" i="1"/>
  <c r="O5" i="1"/>
  <c r="H18" i="10" l="1"/>
  <c r="D18" i="10"/>
  <c r="C18" i="10"/>
  <c r="B19" i="10"/>
  <c r="E18" i="10"/>
  <c r="G18" i="10" s="1"/>
  <c r="G12" i="1"/>
  <c r="F18" i="10" l="1"/>
  <c r="H19" i="10"/>
  <c r="D19" i="10"/>
  <c r="F19" i="10" s="1"/>
  <c r="C19" i="10"/>
  <c r="B20" i="10"/>
  <c r="E19" i="10"/>
  <c r="G19" i="10"/>
  <c r="I18" i="10"/>
  <c r="F12" i="1"/>
  <c r="H20" i="10" l="1"/>
  <c r="D20" i="10"/>
  <c r="C20" i="10"/>
  <c r="B21" i="10"/>
  <c r="E20" i="10"/>
  <c r="G20" i="10" s="1"/>
  <c r="I19" i="10"/>
  <c r="E12" i="1"/>
  <c r="F20" i="10" l="1"/>
  <c r="I20" i="10" s="1"/>
  <c r="H21" i="10"/>
  <c r="D21" i="10"/>
  <c r="F21" i="10" s="1"/>
  <c r="C21" i="10"/>
  <c r="B22" i="10"/>
  <c r="E21" i="10"/>
  <c r="G21" i="10"/>
  <c r="D13" i="9"/>
  <c r="D21" i="9"/>
  <c r="D15" i="9"/>
  <c r="D17" i="9"/>
  <c r="C21" i="9"/>
  <c r="C13" i="9"/>
  <c r="C17" i="9" s="1"/>
  <c r="C15" i="9"/>
  <c r="R2" i="1"/>
  <c r="I2" i="1"/>
  <c r="D18" i="1" s="1"/>
  <c r="O2" i="1"/>
  <c r="D15" i="1" s="1"/>
  <c r="P2" i="1"/>
  <c r="D22" i="1" s="1"/>
  <c r="I21" i="10" l="1"/>
  <c r="H22" i="10"/>
  <c r="D22" i="10"/>
  <c r="C22" i="10"/>
  <c r="B23" i="10"/>
  <c r="E22" i="10"/>
  <c r="G22" i="10" s="1"/>
  <c r="D44" i="1"/>
  <c r="D39" i="1"/>
  <c r="D24" i="1" s="1"/>
  <c r="G15" i="1"/>
  <c r="G18" i="1"/>
  <c r="G39" i="1" s="1"/>
  <c r="G22" i="1"/>
  <c r="F22" i="1"/>
  <c r="F15" i="1"/>
  <c r="F18" i="1"/>
  <c r="F39" i="1" s="1"/>
  <c r="E18" i="1"/>
  <c r="E15" i="1"/>
  <c r="D16" i="9"/>
  <c r="D24" i="9" s="1"/>
  <c r="D25" i="9" s="1"/>
  <c r="D26" i="9" s="1"/>
  <c r="D29" i="9" s="1"/>
  <c r="C16" i="9"/>
  <c r="C24" i="9" s="1"/>
  <c r="C2" i="1"/>
  <c r="D11" i="1" s="1"/>
  <c r="D2" i="1"/>
  <c r="E2" i="1"/>
  <c r="F2" i="1"/>
  <c r="G2" i="1"/>
  <c r="H2" i="1"/>
  <c r="D14" i="1" s="1"/>
  <c r="D19" i="1" s="1"/>
  <c r="D38" i="1" s="1"/>
  <c r="J2" i="1"/>
  <c r="K2" i="1"/>
  <c r="L2" i="1"/>
  <c r="M2" i="1"/>
  <c r="N2" i="1"/>
  <c r="Q2" i="1"/>
  <c r="D30" i="1" s="1"/>
  <c r="B2" i="1"/>
  <c r="F22" i="10" l="1"/>
  <c r="I22" i="10" s="1"/>
  <c r="B24" i="10"/>
  <c r="D23" i="10"/>
  <c r="F23" i="10" s="1"/>
  <c r="H23" i="10"/>
  <c r="C23" i="10"/>
  <c r="E23" i="10"/>
  <c r="G23" i="10"/>
  <c r="D31" i="1"/>
  <c r="D40" i="1"/>
  <c r="D23" i="1"/>
  <c r="D25" i="1" s="1"/>
  <c r="D26" i="1" s="1"/>
  <c r="D27" i="1" s="1"/>
  <c r="D13" i="1"/>
  <c r="D21" i="1" s="1"/>
  <c r="D29" i="1" s="1"/>
  <c r="D17" i="1"/>
  <c r="D32" i="1"/>
  <c r="G17" i="1"/>
  <c r="F17" i="1"/>
  <c r="E17" i="1"/>
  <c r="G13" i="1"/>
  <c r="G21" i="1" s="1"/>
  <c r="G29" i="1" s="1"/>
  <c r="G11" i="1"/>
  <c r="G30" i="1"/>
  <c r="G32" i="1" s="1"/>
  <c r="E22" i="1"/>
  <c r="G44" i="1"/>
  <c r="G14" i="1"/>
  <c r="G19" i="1" s="1"/>
  <c r="G38" i="1" s="1"/>
  <c r="G23" i="1" s="1"/>
  <c r="G24" i="1"/>
  <c r="F44" i="1"/>
  <c r="F30" i="1"/>
  <c r="F32" i="1" s="1"/>
  <c r="F14" i="1"/>
  <c r="F19" i="1" s="1"/>
  <c r="F38" i="1" s="1"/>
  <c r="F40" i="1" s="1"/>
  <c r="F13" i="1"/>
  <c r="F21" i="1" s="1"/>
  <c r="F29" i="1" s="1"/>
  <c r="F11" i="1"/>
  <c r="F24" i="1"/>
  <c r="E30" i="1"/>
  <c r="E44" i="1"/>
  <c r="E39" i="1"/>
  <c r="E13" i="1"/>
  <c r="E21" i="1" s="1"/>
  <c r="E29" i="1" s="1"/>
  <c r="E11" i="1"/>
  <c r="E14" i="1"/>
  <c r="E19" i="1" s="1"/>
  <c r="E38" i="1" s="1"/>
  <c r="C25" i="9"/>
  <c r="C26" i="9" s="1"/>
  <c r="C29" i="9" s="1"/>
  <c r="B25" i="10" l="1"/>
  <c r="E24" i="10"/>
  <c r="G24" i="10" s="1"/>
  <c r="D24" i="10"/>
  <c r="F24" i="10" s="1"/>
  <c r="H24" i="10"/>
  <c r="C24" i="10"/>
  <c r="I23" i="10"/>
  <c r="D41" i="1"/>
  <c r="D42" i="1" s="1"/>
  <c r="D45" i="1"/>
  <c r="D46" i="1" s="1"/>
  <c r="D33" i="1"/>
  <c r="D34" i="1" s="1"/>
  <c r="D35" i="1" s="1"/>
  <c r="G31" i="1"/>
  <c r="G33" i="1" s="1"/>
  <c r="G34" i="1" s="1"/>
  <c r="G35" i="1" s="1"/>
  <c r="G40" i="1"/>
  <c r="G41" i="1" s="1"/>
  <c r="G42" i="1" s="1"/>
  <c r="G25" i="1"/>
  <c r="G26" i="1" s="1"/>
  <c r="G27" i="1" s="1"/>
  <c r="H44" i="1"/>
  <c r="H38" i="1"/>
  <c r="H39" i="1"/>
  <c r="F23" i="1"/>
  <c r="F25" i="1" s="1"/>
  <c r="F26" i="1" s="1"/>
  <c r="F27" i="1" s="1"/>
  <c r="F31" i="1"/>
  <c r="F33" i="1" s="1"/>
  <c r="F34" i="1" s="1"/>
  <c r="F35" i="1" s="1"/>
  <c r="F45" i="1"/>
  <c r="F46" i="1" s="1"/>
  <c r="F41" i="1"/>
  <c r="F42" i="1" s="1"/>
  <c r="E23" i="1"/>
  <c r="E31" i="1"/>
  <c r="E40" i="1"/>
  <c r="E24" i="1"/>
  <c r="E32" i="1"/>
  <c r="I24" i="10" l="1"/>
  <c r="B26" i="10"/>
  <c r="D25" i="10"/>
  <c r="F25" i="10" s="1"/>
  <c r="H25" i="10"/>
  <c r="C25" i="10"/>
  <c r="E25" i="10"/>
  <c r="G25" i="10" s="1"/>
  <c r="G45" i="1"/>
  <c r="G46" i="1" s="1"/>
  <c r="H40" i="1"/>
  <c r="E33" i="1"/>
  <c r="E34" i="1" s="1"/>
  <c r="E35" i="1" s="1"/>
  <c r="E41" i="1"/>
  <c r="E42" i="1" s="1"/>
  <c r="E45" i="1"/>
  <c r="E46" i="1" s="1"/>
  <c r="E25" i="1"/>
  <c r="I25" i="10" l="1"/>
  <c r="B27" i="10"/>
  <c r="E26" i="10"/>
  <c r="G26" i="10" s="1"/>
  <c r="D26" i="10"/>
  <c r="H26" i="10"/>
  <c r="C26" i="10"/>
  <c r="H41" i="1"/>
  <c r="H45" i="1"/>
  <c r="H46" i="1" s="1"/>
  <c r="H42" i="1"/>
  <c r="E26" i="1"/>
  <c r="E27" i="1" s="1"/>
  <c r="F26" i="10" l="1"/>
  <c r="I26" i="10"/>
  <c r="B28" i="10"/>
  <c r="D27" i="10"/>
  <c r="H27" i="10"/>
  <c r="C27" i="10"/>
  <c r="E27" i="10"/>
  <c r="G27" i="10" s="1"/>
  <c r="F27" i="10" l="1"/>
  <c r="I27" i="10" s="1"/>
  <c r="B29" i="10"/>
  <c r="E28" i="10"/>
  <c r="G28" i="10" s="1"/>
  <c r="D28" i="10"/>
  <c r="H28" i="10"/>
  <c r="C28" i="10"/>
  <c r="F28" i="10" l="1"/>
  <c r="B30" i="10"/>
  <c r="D29" i="10"/>
  <c r="H29" i="10"/>
  <c r="C29" i="10"/>
  <c r="E29" i="10"/>
  <c r="G29" i="10" s="1"/>
  <c r="I28" i="10"/>
  <c r="F29" i="10" l="1"/>
  <c r="I29" i="10" s="1"/>
  <c r="B31" i="10"/>
  <c r="E30" i="10"/>
  <c r="G30" i="10" s="1"/>
  <c r="D30" i="10"/>
  <c r="H30" i="10"/>
  <c r="C30" i="10"/>
  <c r="F30" i="10" l="1"/>
  <c r="B32" i="10"/>
  <c r="E31" i="10"/>
  <c r="G31" i="10" s="1"/>
  <c r="H31" i="10"/>
  <c r="D31" i="10"/>
  <c r="C31" i="10"/>
  <c r="I30" i="10"/>
  <c r="F31" i="10" l="1"/>
  <c r="I31" i="10" s="1"/>
  <c r="B33" i="10"/>
  <c r="E32" i="10"/>
  <c r="G32" i="10" s="1"/>
  <c r="H32" i="10"/>
  <c r="D32" i="10"/>
  <c r="C32" i="10"/>
  <c r="B34" i="10" l="1"/>
  <c r="E33" i="10"/>
  <c r="G33" i="10" s="1"/>
  <c r="H33" i="10"/>
  <c r="D33" i="10"/>
  <c r="F33" i="10" s="1"/>
  <c r="C33" i="10"/>
  <c r="F32" i="10"/>
  <c r="I32" i="10" s="1"/>
  <c r="I33" i="10" l="1"/>
  <c r="B35" i="10"/>
  <c r="E34" i="10"/>
  <c r="G34" i="10" s="1"/>
  <c r="H34" i="10"/>
  <c r="D34" i="10"/>
  <c r="C34" i="10"/>
  <c r="F34" i="10" l="1"/>
  <c r="I34" i="10" s="1"/>
  <c r="B36" i="10"/>
  <c r="E35" i="10"/>
  <c r="G35" i="10" s="1"/>
  <c r="H35" i="10"/>
  <c r="D35" i="10"/>
  <c r="C35" i="10"/>
  <c r="F35" i="10" l="1"/>
  <c r="I35" i="10" s="1"/>
  <c r="B37" i="10"/>
  <c r="E36" i="10"/>
  <c r="G36" i="10" s="1"/>
  <c r="H36" i="10"/>
  <c r="D36" i="10"/>
  <c r="C36" i="10"/>
  <c r="B38" i="10" l="1"/>
  <c r="E37" i="10"/>
  <c r="G37" i="10" s="1"/>
  <c r="H37" i="10"/>
  <c r="D37" i="10"/>
  <c r="C37" i="10"/>
  <c r="F36" i="10"/>
  <c r="I36" i="10" s="1"/>
  <c r="B39" i="10" l="1"/>
  <c r="E38" i="10"/>
  <c r="G38" i="10" s="1"/>
  <c r="H38" i="10"/>
  <c r="D38" i="10"/>
  <c r="C38" i="10"/>
  <c r="F37" i="10"/>
  <c r="I37" i="10" s="1"/>
  <c r="B40" i="10" l="1"/>
  <c r="E39" i="10"/>
  <c r="G39" i="10" s="1"/>
  <c r="H39" i="10"/>
  <c r="D39" i="10"/>
  <c r="F39" i="10" s="1"/>
  <c r="C39" i="10"/>
  <c r="F38" i="10"/>
  <c r="I38" i="10" s="1"/>
  <c r="I39" i="10" l="1"/>
  <c r="B41" i="10"/>
  <c r="E40" i="10"/>
  <c r="G40" i="10" s="1"/>
  <c r="H40" i="10"/>
  <c r="D40" i="10"/>
  <c r="C40" i="10"/>
  <c r="B42" i="10" l="1"/>
  <c r="E41" i="10"/>
  <c r="G41" i="10" s="1"/>
  <c r="H41" i="10"/>
  <c r="D41" i="10"/>
  <c r="F41" i="10" s="1"/>
  <c r="C41" i="10"/>
  <c r="F40" i="10"/>
  <c r="I40" i="10" s="1"/>
  <c r="I41" i="10" l="1"/>
  <c r="B43" i="10"/>
  <c r="E42" i="10"/>
  <c r="G42" i="10" s="1"/>
  <c r="H42" i="10"/>
  <c r="D42" i="10"/>
  <c r="C42" i="10"/>
  <c r="B44" i="10" l="1"/>
  <c r="E43" i="10"/>
  <c r="G43" i="10" s="1"/>
  <c r="H43" i="10"/>
  <c r="D43" i="10"/>
  <c r="F43" i="10" s="1"/>
  <c r="C43" i="10"/>
  <c r="F42" i="10"/>
  <c r="I42" i="10" s="1"/>
  <c r="I43" i="10" l="1"/>
  <c r="B45" i="10"/>
  <c r="E44" i="10"/>
  <c r="G44" i="10" s="1"/>
  <c r="H44" i="10"/>
  <c r="D44" i="10"/>
  <c r="C44" i="10"/>
  <c r="B46" i="10" l="1"/>
  <c r="E45" i="10"/>
  <c r="G45" i="10" s="1"/>
  <c r="H45" i="10"/>
  <c r="D45" i="10"/>
  <c r="C45" i="10"/>
  <c r="F44" i="10"/>
  <c r="I44" i="10" s="1"/>
  <c r="B47" i="10" l="1"/>
  <c r="E46" i="10"/>
  <c r="G46" i="10" s="1"/>
  <c r="H46" i="10"/>
  <c r="D46" i="10"/>
  <c r="C46" i="10"/>
  <c r="F45" i="10"/>
  <c r="I45" i="10" s="1"/>
  <c r="B48" i="10" l="1"/>
  <c r="E47" i="10"/>
  <c r="G47" i="10" s="1"/>
  <c r="H47" i="10"/>
  <c r="D47" i="10"/>
  <c r="F47" i="10" s="1"/>
  <c r="C47" i="10"/>
  <c r="F46" i="10"/>
  <c r="I46" i="10" s="1"/>
  <c r="I47" i="10" l="1"/>
  <c r="B49" i="10"/>
  <c r="E48" i="10"/>
  <c r="G48" i="10" s="1"/>
  <c r="H48" i="10"/>
  <c r="D48" i="10"/>
  <c r="C48" i="10"/>
  <c r="F48" i="10" l="1"/>
  <c r="I48" i="10" s="1"/>
  <c r="B50" i="10"/>
  <c r="E49" i="10"/>
  <c r="G49" i="10" s="1"/>
  <c r="H49" i="10"/>
  <c r="D49" i="10"/>
  <c r="C49" i="10"/>
  <c r="B51" i="10" l="1"/>
  <c r="E50" i="10"/>
  <c r="G50" i="10" s="1"/>
  <c r="H50" i="10"/>
  <c r="D50" i="10"/>
  <c r="F50" i="10" s="1"/>
  <c r="C50" i="10"/>
  <c r="F49" i="10"/>
  <c r="I49" i="10" s="1"/>
  <c r="I50" i="10" l="1"/>
  <c r="B52" i="10"/>
  <c r="E51" i="10"/>
  <c r="G51" i="10" s="1"/>
  <c r="H51" i="10"/>
  <c r="D51" i="10"/>
  <c r="C51" i="10"/>
  <c r="B53" i="10" l="1"/>
  <c r="E52" i="10"/>
  <c r="H52" i="10"/>
  <c r="D52" i="10"/>
  <c r="F52" i="10" s="1"/>
  <c r="C52" i="10"/>
  <c r="G52" i="10"/>
  <c r="F51" i="10"/>
  <c r="I51" i="10" s="1"/>
  <c r="I52" i="10" l="1"/>
  <c r="B54" i="10"/>
  <c r="E53" i="10"/>
  <c r="G53" i="10" s="1"/>
  <c r="H53" i="10"/>
  <c r="D53" i="10"/>
  <c r="C53" i="10"/>
  <c r="B55" i="10" l="1"/>
  <c r="E54" i="10"/>
  <c r="G54" i="10" s="1"/>
  <c r="H54" i="10"/>
  <c r="D54" i="10"/>
  <c r="F54" i="10" s="1"/>
  <c r="C54" i="10"/>
  <c r="F53" i="10"/>
  <c r="I53" i="10" s="1"/>
  <c r="I54" i="10" l="1"/>
  <c r="B56" i="10"/>
  <c r="E55" i="10"/>
  <c r="G55" i="10" s="1"/>
  <c r="H55" i="10"/>
  <c r="D55" i="10"/>
  <c r="C55" i="10"/>
  <c r="F55" i="10" l="1"/>
  <c r="I55" i="10" s="1"/>
  <c r="B57" i="10"/>
  <c r="E56" i="10"/>
  <c r="G56" i="10" s="1"/>
  <c r="H56" i="10"/>
  <c r="D56" i="10"/>
  <c r="C56" i="10"/>
  <c r="F56" i="10" l="1"/>
  <c r="I56" i="10" s="1"/>
  <c r="H57" i="10"/>
  <c r="B58" i="10"/>
  <c r="E57" i="10"/>
  <c r="D57" i="10"/>
  <c r="C57" i="10"/>
  <c r="G57" i="10"/>
  <c r="H58" i="10" l="1"/>
  <c r="D58" i="10"/>
  <c r="F58" i="10" s="1"/>
  <c r="C58" i="10"/>
  <c r="B59" i="10"/>
  <c r="E58" i="10"/>
  <c r="G58" i="10"/>
  <c r="F57" i="10"/>
  <c r="I57" i="10" s="1"/>
  <c r="H59" i="10" l="1"/>
  <c r="D59" i="10"/>
  <c r="B60" i="10"/>
  <c r="E59" i="10"/>
  <c r="G59" i="10" s="1"/>
  <c r="C59" i="10"/>
  <c r="I58" i="10"/>
  <c r="F59" i="10" l="1"/>
  <c r="H60" i="10"/>
  <c r="D60" i="10"/>
  <c r="F60" i="10" s="1"/>
  <c r="C60" i="10"/>
  <c r="B61" i="10"/>
  <c r="E60" i="10"/>
  <c r="G60" i="10"/>
  <c r="I59" i="10"/>
  <c r="I60" i="10" l="1"/>
  <c r="H61" i="10"/>
  <c r="D61" i="10"/>
  <c r="B62" i="10"/>
  <c r="E61" i="10"/>
  <c r="C61" i="10"/>
  <c r="G61" i="10"/>
  <c r="F61" i="10" l="1"/>
  <c r="H62" i="10"/>
  <c r="D62" i="10"/>
  <c r="C62" i="10"/>
  <c r="B63" i="10"/>
  <c r="E62" i="10"/>
  <c r="G62" i="10"/>
  <c r="I61" i="10"/>
  <c r="F62" i="10" l="1"/>
  <c r="I62" i="10" s="1"/>
  <c r="H63" i="10"/>
  <c r="D63" i="10"/>
  <c r="B64" i="10"/>
  <c r="E63" i="10"/>
  <c r="G63" i="10" s="1"/>
  <c r="C63" i="10"/>
  <c r="F63" i="10" l="1"/>
  <c r="I63" i="10" s="1"/>
  <c r="H64" i="10"/>
  <c r="D64" i="10"/>
  <c r="C64" i="10"/>
  <c r="B65" i="10"/>
  <c r="E64" i="10"/>
  <c r="G64" i="10" s="1"/>
  <c r="F64" i="10" l="1"/>
  <c r="I64" i="10"/>
  <c r="H65" i="10"/>
  <c r="D65" i="10"/>
  <c r="B66" i="10"/>
  <c r="E65" i="10"/>
  <c r="G65" i="10" s="1"/>
  <c r="C65" i="10"/>
  <c r="F65" i="10" l="1"/>
  <c r="H66" i="10"/>
  <c r="D66" i="10"/>
  <c r="C66" i="10"/>
  <c r="B67" i="10"/>
  <c r="E66" i="10"/>
  <c r="G66" i="10" s="1"/>
  <c r="I65" i="10"/>
  <c r="F66" i="10" l="1"/>
  <c r="H67" i="10"/>
  <c r="D67" i="10"/>
  <c r="B68" i="10"/>
  <c r="E67" i="10"/>
  <c r="G67" i="10" s="1"/>
  <c r="C67" i="10"/>
  <c r="I66" i="10"/>
  <c r="F67" i="10" l="1"/>
  <c r="H68" i="10"/>
  <c r="D68" i="10"/>
  <c r="C68" i="10"/>
  <c r="B69" i="10"/>
  <c r="E68" i="10"/>
  <c r="G68" i="10"/>
  <c r="I67" i="10"/>
  <c r="F68" i="10" l="1"/>
  <c r="I68" i="10" s="1"/>
  <c r="H69" i="10"/>
  <c r="D69" i="10"/>
  <c r="B70" i="10"/>
  <c r="E69" i="10"/>
  <c r="G69" i="10" s="1"/>
  <c r="C69" i="10"/>
  <c r="F69" i="10" l="1"/>
  <c r="H70" i="10"/>
  <c r="D70" i="10"/>
  <c r="C70" i="10"/>
  <c r="B71" i="10"/>
  <c r="E70" i="10"/>
  <c r="G70" i="10" s="1"/>
  <c r="I69" i="10"/>
  <c r="F70" i="10" l="1"/>
  <c r="I70" i="10" s="1"/>
  <c r="H71" i="10"/>
  <c r="D71" i="10"/>
  <c r="B72" i="10"/>
  <c r="E71" i="10"/>
  <c r="G71" i="10" s="1"/>
  <c r="C71" i="10"/>
  <c r="F71" i="10" l="1"/>
  <c r="H72" i="10"/>
  <c r="D72" i="10"/>
  <c r="F72" i="10" s="1"/>
  <c r="B73" i="10"/>
  <c r="C72" i="10"/>
  <c r="E72" i="10"/>
  <c r="G72" i="10"/>
  <c r="I71" i="10"/>
  <c r="H73" i="10" l="1"/>
  <c r="D73" i="10"/>
  <c r="F73" i="10" s="1"/>
  <c r="C73" i="10"/>
  <c r="B74" i="10"/>
  <c r="E73" i="10"/>
  <c r="G73" i="10"/>
  <c r="I72" i="10"/>
  <c r="H74" i="10" l="1"/>
  <c r="D74" i="10"/>
  <c r="C74" i="10"/>
  <c r="B75" i="10"/>
  <c r="E74" i="10"/>
  <c r="G74" i="10"/>
  <c r="I73" i="10"/>
  <c r="F74" i="10" l="1"/>
  <c r="H75" i="10"/>
  <c r="D75" i="10"/>
  <c r="C75" i="10"/>
  <c r="B76" i="10"/>
  <c r="E75" i="10"/>
  <c r="G75" i="10"/>
  <c r="I74" i="10"/>
  <c r="F75" i="10" l="1"/>
  <c r="H76" i="10"/>
  <c r="D76" i="10"/>
  <c r="F76" i="10" s="1"/>
  <c r="C76" i="10"/>
  <c r="B77" i="10"/>
  <c r="E76" i="10"/>
  <c r="G76" i="10"/>
  <c r="I75" i="10"/>
  <c r="H77" i="10" l="1"/>
  <c r="D77" i="10"/>
  <c r="C77" i="10"/>
  <c r="B78" i="10"/>
  <c r="E77" i="10"/>
  <c r="G77" i="10" s="1"/>
  <c r="I76" i="10"/>
  <c r="H78" i="10" l="1"/>
  <c r="D78" i="10"/>
  <c r="F78" i="10" s="1"/>
  <c r="I78" i="10" s="1"/>
  <c r="C78" i="10"/>
  <c r="B79" i="10"/>
  <c r="E78" i="10"/>
  <c r="G78" i="10"/>
  <c r="F77" i="10"/>
  <c r="I77" i="10" s="1"/>
  <c r="H79" i="10" l="1"/>
  <c r="D79" i="10"/>
  <c r="F79" i="10" s="1"/>
  <c r="I79" i="10" s="1"/>
  <c r="C79" i="10"/>
  <c r="B80" i="10"/>
  <c r="E79" i="10"/>
  <c r="G79" i="10"/>
  <c r="H80" i="10" l="1"/>
  <c r="D80" i="10"/>
  <c r="C80" i="10"/>
  <c r="B81" i="10"/>
  <c r="E80" i="10"/>
  <c r="G80" i="10"/>
  <c r="F80" i="10" l="1"/>
  <c r="I80" i="10" s="1"/>
  <c r="H81" i="10"/>
  <c r="D81" i="10"/>
  <c r="C81" i="10"/>
  <c r="B82" i="10"/>
  <c r="E81" i="10"/>
  <c r="G81" i="10"/>
  <c r="F81" i="10" l="1"/>
  <c r="I81" i="10" s="1"/>
  <c r="H82" i="10"/>
  <c r="D82" i="10"/>
  <c r="F82" i="10" s="1"/>
  <c r="I82" i="10" s="1"/>
  <c r="C82" i="10"/>
  <c r="B83" i="10"/>
  <c r="E82" i="10"/>
  <c r="G82" i="10"/>
  <c r="H83" i="10" l="1"/>
  <c r="D83" i="10"/>
  <c r="F83" i="10" s="1"/>
  <c r="I83" i="10" s="1"/>
  <c r="C83" i="10"/>
  <c r="B84" i="10"/>
  <c r="E83" i="10"/>
  <c r="G83" i="10"/>
  <c r="H84" i="10" l="1"/>
  <c r="D84" i="10"/>
  <c r="C84" i="10"/>
  <c r="B85" i="10"/>
  <c r="E84" i="10"/>
  <c r="G84" i="10"/>
  <c r="F84" i="10" l="1"/>
  <c r="I84" i="10" s="1"/>
  <c r="H85" i="10"/>
  <c r="D85" i="10"/>
  <c r="C85" i="10"/>
  <c r="B86" i="10"/>
  <c r="E85" i="10"/>
  <c r="G85" i="10"/>
  <c r="F85" i="10" l="1"/>
  <c r="I85" i="10" s="1"/>
  <c r="H86" i="10"/>
  <c r="D86" i="10"/>
  <c r="F86" i="10" s="1"/>
  <c r="I86" i="10" s="1"/>
  <c r="C86" i="10"/>
  <c r="B87" i="10"/>
  <c r="E86" i="10"/>
  <c r="G86" i="10"/>
  <c r="H87" i="10" l="1"/>
  <c r="D87" i="10"/>
  <c r="C87" i="10"/>
  <c r="B88" i="10"/>
  <c r="E87" i="10"/>
  <c r="G87" i="10"/>
  <c r="F87" i="10" l="1"/>
  <c r="I87" i="10" s="1"/>
  <c r="H88" i="10"/>
  <c r="D88" i="10"/>
  <c r="F88" i="10" s="1"/>
  <c r="I88" i="10" s="1"/>
  <c r="C88" i="10"/>
  <c r="B89" i="10"/>
  <c r="E88" i="10"/>
  <c r="G88" i="10"/>
  <c r="H89" i="10" l="1"/>
  <c r="D89" i="10"/>
  <c r="C89" i="10"/>
  <c r="B90" i="10"/>
  <c r="E89" i="10"/>
  <c r="G89" i="10"/>
  <c r="F89" i="10" l="1"/>
  <c r="I89" i="10" s="1"/>
  <c r="H90" i="10"/>
  <c r="D90" i="10"/>
  <c r="C90" i="10"/>
  <c r="B91" i="10"/>
  <c r="E90" i="10"/>
  <c r="G90" i="10"/>
  <c r="F90" i="10" l="1"/>
  <c r="I90" i="10" s="1"/>
  <c r="H91" i="10"/>
  <c r="D91" i="10"/>
  <c r="F91" i="10" s="1"/>
  <c r="I91" i="10" s="1"/>
  <c r="C91" i="10"/>
  <c r="B92" i="10"/>
  <c r="E91" i="10"/>
  <c r="G91" i="10"/>
  <c r="H92" i="10" l="1"/>
  <c r="D92" i="10"/>
  <c r="C92" i="10"/>
  <c r="B93" i="10"/>
  <c r="E92" i="10"/>
  <c r="G92" i="10"/>
  <c r="H93" i="10" l="1"/>
  <c r="D93" i="10"/>
  <c r="F93" i="10" s="1"/>
  <c r="I93" i="10" s="1"/>
  <c r="C93" i="10"/>
  <c r="B94" i="10"/>
  <c r="E93" i="10"/>
  <c r="G93" i="10"/>
  <c r="F92" i="10"/>
  <c r="I92" i="10" s="1"/>
  <c r="H94" i="10" l="1"/>
  <c r="D94" i="10"/>
  <c r="F94" i="10" s="1"/>
  <c r="I94" i="10" s="1"/>
  <c r="C94" i="10"/>
  <c r="B95" i="10"/>
  <c r="E94" i="10"/>
  <c r="G94" i="10"/>
  <c r="D95" i="10" l="1"/>
  <c r="H95" i="10"/>
  <c r="C95" i="10"/>
  <c r="B96" i="10"/>
  <c r="E95" i="10"/>
  <c r="G95" i="10"/>
  <c r="H96" i="10" l="1"/>
  <c r="D96" i="10"/>
  <c r="C96" i="10"/>
  <c r="E96" i="10"/>
  <c r="B97" i="10"/>
  <c r="G96" i="10"/>
  <c r="F95" i="10"/>
  <c r="I95" i="10" s="1"/>
  <c r="F96" i="10" l="1"/>
  <c r="I96" i="10" s="1"/>
  <c r="H97" i="10"/>
  <c r="D97" i="10"/>
  <c r="C97" i="10"/>
  <c r="E97" i="10"/>
  <c r="B98" i="10"/>
  <c r="G97" i="10"/>
  <c r="F97" i="10" l="1"/>
  <c r="I97" i="10" s="1"/>
  <c r="H98" i="10"/>
  <c r="D98" i="10"/>
  <c r="C98" i="10"/>
  <c r="E98" i="10"/>
  <c r="B99" i="10"/>
  <c r="G98" i="10"/>
  <c r="F98" i="10" l="1"/>
  <c r="I98" i="10" s="1"/>
  <c r="H99" i="10"/>
  <c r="D99" i="10"/>
  <c r="C99" i="10"/>
  <c r="E99" i="10"/>
  <c r="B100" i="10"/>
  <c r="G99" i="10"/>
  <c r="F99" i="10" l="1"/>
  <c r="I99" i="10" s="1"/>
  <c r="H100" i="10"/>
  <c r="D100" i="10"/>
  <c r="C100" i="10"/>
  <c r="E100" i="10"/>
  <c r="B101" i="10"/>
  <c r="G100" i="10"/>
  <c r="F100" i="10" l="1"/>
  <c r="I100" i="10" s="1"/>
  <c r="H101" i="10"/>
  <c r="D101" i="10"/>
  <c r="C101" i="10"/>
  <c r="E101" i="10"/>
  <c r="B102" i="10"/>
  <c r="G101" i="10"/>
  <c r="F101" i="10" l="1"/>
  <c r="I101" i="10" s="1"/>
  <c r="E102" i="10"/>
  <c r="H102" i="10"/>
  <c r="D102" i="10"/>
  <c r="F102" i="10" s="1"/>
  <c r="I102" i="10" s="1"/>
  <c r="C102" i="10"/>
  <c r="B103" i="10"/>
  <c r="G102" i="10"/>
  <c r="E103" i="10" l="1"/>
  <c r="H103" i="10"/>
  <c r="D103" i="10"/>
  <c r="F103" i="10" s="1"/>
  <c r="I103" i="10" s="1"/>
  <c r="C103" i="10"/>
  <c r="B104" i="10"/>
  <c r="G103" i="10"/>
  <c r="E104" i="10" l="1"/>
  <c r="H104" i="10"/>
  <c r="D104" i="10"/>
  <c r="F104" i="10" s="1"/>
  <c r="I104" i="10" s="1"/>
  <c r="C104" i="10"/>
  <c r="B105" i="10"/>
  <c r="G104" i="10"/>
  <c r="E105" i="10" l="1"/>
  <c r="H105" i="10"/>
  <c r="D105" i="10"/>
  <c r="F105" i="10" s="1"/>
  <c r="I105" i="10" s="1"/>
  <c r="C105" i="10"/>
  <c r="B106" i="10"/>
  <c r="G105" i="10"/>
  <c r="E106" i="10" l="1"/>
  <c r="H106" i="10"/>
  <c r="D106" i="10"/>
  <c r="F106" i="10" s="1"/>
  <c r="I106" i="10" s="1"/>
  <c r="C106" i="10"/>
  <c r="B107" i="10"/>
  <c r="G106" i="10"/>
  <c r="E107" i="10" l="1"/>
  <c r="H107" i="10"/>
  <c r="D107" i="10"/>
  <c r="C107" i="10"/>
  <c r="B108" i="10"/>
  <c r="G107" i="10"/>
  <c r="F107" i="10" l="1"/>
  <c r="I107" i="10" s="1"/>
  <c r="E108" i="10"/>
  <c r="H108" i="10"/>
  <c r="D108" i="10"/>
  <c r="F108" i="10" s="1"/>
  <c r="I108" i="10" s="1"/>
  <c r="C108" i="10"/>
  <c r="B109" i="10"/>
  <c r="G108" i="10"/>
  <c r="E109" i="10" l="1"/>
  <c r="H109" i="10"/>
  <c r="D109" i="10"/>
  <c r="F109" i="10" s="1"/>
  <c r="I109" i="10" s="1"/>
  <c r="C109" i="10"/>
  <c r="B110" i="10"/>
  <c r="G109" i="10"/>
  <c r="E110" i="10" l="1"/>
  <c r="H110" i="10"/>
  <c r="D110" i="10"/>
  <c r="F110" i="10" s="1"/>
  <c r="I110" i="10" s="1"/>
  <c r="C110" i="10"/>
  <c r="B111" i="10"/>
  <c r="G110" i="10"/>
  <c r="E111" i="10" l="1"/>
  <c r="H111" i="10"/>
  <c r="D111" i="10"/>
  <c r="F111" i="10" s="1"/>
  <c r="I111" i="10" s="1"/>
  <c r="C111" i="10"/>
  <c r="B112" i="10"/>
  <c r="G111" i="10"/>
  <c r="E112" i="10" l="1"/>
  <c r="H112" i="10"/>
  <c r="D112" i="10"/>
  <c r="F112" i="10" s="1"/>
  <c r="I112" i="10" s="1"/>
  <c r="C112" i="10"/>
  <c r="B113" i="10"/>
  <c r="G112" i="10"/>
  <c r="E113" i="10" l="1"/>
  <c r="H113" i="10"/>
  <c r="D113" i="10"/>
  <c r="F113" i="10" s="1"/>
  <c r="I113" i="10" s="1"/>
  <c r="C113" i="10"/>
  <c r="B114" i="10"/>
  <c r="G113" i="10"/>
  <c r="E114" i="10" l="1"/>
  <c r="H114" i="10"/>
  <c r="D114" i="10"/>
  <c r="F114" i="10" s="1"/>
  <c r="I114" i="10" s="1"/>
  <c r="C114" i="10"/>
  <c r="B115" i="10"/>
  <c r="G114" i="10"/>
  <c r="E115" i="10" l="1"/>
  <c r="H115" i="10"/>
  <c r="D115" i="10"/>
  <c r="F115" i="10" s="1"/>
  <c r="I115" i="10" s="1"/>
  <c r="C115" i="10"/>
  <c r="B116" i="10"/>
  <c r="G115" i="10"/>
  <c r="E116" i="10" l="1"/>
  <c r="H116" i="10"/>
  <c r="D116" i="10"/>
  <c r="F116" i="10" s="1"/>
  <c r="I116" i="10" s="1"/>
  <c r="C116" i="10"/>
  <c r="B117" i="10"/>
  <c r="G116" i="10"/>
  <c r="E117" i="10" l="1"/>
  <c r="H117" i="10"/>
  <c r="D117" i="10"/>
  <c r="F117" i="10" s="1"/>
  <c r="I117" i="10" s="1"/>
  <c r="C117" i="10"/>
  <c r="B118" i="10"/>
  <c r="G117" i="10"/>
  <c r="E118" i="10" l="1"/>
  <c r="H118" i="10"/>
  <c r="D118" i="10"/>
  <c r="F118" i="10" s="1"/>
  <c r="I118" i="10" s="1"/>
  <c r="C118" i="10"/>
  <c r="B119" i="10"/>
  <c r="G118" i="10"/>
  <c r="E119" i="10" l="1"/>
  <c r="H119" i="10"/>
  <c r="D119" i="10"/>
  <c r="F119" i="10" s="1"/>
  <c r="I119" i="10" s="1"/>
  <c r="C119" i="10"/>
  <c r="B120" i="10"/>
  <c r="G119" i="10"/>
  <c r="E120" i="10" l="1"/>
  <c r="H120" i="10"/>
  <c r="D120" i="10"/>
  <c r="F120" i="10" s="1"/>
  <c r="I120" i="10" s="1"/>
  <c r="C120" i="10"/>
  <c r="B121" i="10"/>
  <c r="G120" i="10"/>
  <c r="E121" i="10" l="1"/>
  <c r="H121" i="10"/>
  <c r="D121" i="10"/>
  <c r="F121" i="10" s="1"/>
  <c r="I121" i="10" s="1"/>
  <c r="C121" i="10"/>
  <c r="B122" i="10"/>
  <c r="G121" i="10"/>
  <c r="E122" i="10" l="1"/>
  <c r="H122" i="10"/>
  <c r="D122" i="10"/>
  <c r="F122" i="10" s="1"/>
  <c r="I122" i="10" s="1"/>
  <c r="C122" i="10"/>
  <c r="B123" i="10"/>
  <c r="G122" i="10"/>
  <c r="E123" i="10" l="1"/>
  <c r="H123" i="10"/>
  <c r="D123" i="10"/>
  <c r="F123" i="10" s="1"/>
  <c r="I123" i="10" s="1"/>
  <c r="C123" i="10"/>
  <c r="B124" i="10"/>
  <c r="G123" i="10"/>
  <c r="E124" i="10" l="1"/>
  <c r="H124" i="10"/>
  <c r="D124" i="10"/>
  <c r="F124" i="10" s="1"/>
  <c r="I124" i="10" s="1"/>
  <c r="C124" i="10"/>
  <c r="B125" i="10"/>
  <c r="G124" i="10"/>
  <c r="E125" i="10" l="1"/>
  <c r="H125" i="10"/>
  <c r="D125" i="10"/>
  <c r="F125" i="10" s="1"/>
  <c r="I125" i="10" s="1"/>
  <c r="C125" i="10"/>
  <c r="B126" i="10"/>
  <c r="G125" i="10"/>
  <c r="E126" i="10" l="1"/>
  <c r="H126" i="10"/>
  <c r="D126" i="10"/>
  <c r="F126" i="10" s="1"/>
  <c r="I126" i="10" s="1"/>
  <c r="C126" i="10"/>
  <c r="B127" i="10"/>
  <c r="G126" i="10"/>
  <c r="E127" i="10" l="1"/>
  <c r="H127" i="10"/>
  <c r="D127" i="10"/>
  <c r="F127" i="10" s="1"/>
  <c r="I127" i="10" s="1"/>
  <c r="C127" i="10"/>
  <c r="B128" i="10"/>
  <c r="G127" i="10"/>
  <c r="E128" i="10" l="1"/>
  <c r="H128" i="10"/>
  <c r="D128" i="10"/>
  <c r="F128" i="10" s="1"/>
  <c r="I128" i="10" s="1"/>
  <c r="C128" i="10"/>
  <c r="B129" i="10"/>
  <c r="G128" i="10"/>
  <c r="E129" i="10" l="1"/>
  <c r="H129" i="10"/>
  <c r="D129" i="10"/>
  <c r="F129" i="10" s="1"/>
  <c r="I129" i="10" s="1"/>
  <c r="C129" i="10"/>
  <c r="B130" i="10"/>
  <c r="G129" i="10"/>
  <c r="E130" i="10" l="1"/>
  <c r="H130" i="10"/>
  <c r="D130" i="10"/>
  <c r="F130" i="10" s="1"/>
  <c r="I130" i="10" s="1"/>
  <c r="C130" i="10"/>
  <c r="B131" i="10"/>
  <c r="G130" i="10"/>
  <c r="E131" i="10" l="1"/>
  <c r="H131" i="10"/>
  <c r="D131" i="10"/>
  <c r="F131" i="10" s="1"/>
  <c r="I131" i="10" s="1"/>
  <c r="C131" i="10"/>
  <c r="B132" i="10"/>
  <c r="G131" i="10"/>
  <c r="E132" i="10" l="1"/>
  <c r="H132" i="10"/>
  <c r="D132" i="10"/>
  <c r="F132" i="10" s="1"/>
  <c r="I132" i="10" s="1"/>
  <c r="C132" i="10"/>
  <c r="B133" i="10"/>
  <c r="G132" i="10"/>
  <c r="E133" i="10" l="1"/>
  <c r="H133" i="10"/>
  <c r="D133" i="10"/>
  <c r="F133" i="10" s="1"/>
  <c r="I133" i="10" s="1"/>
  <c r="C133" i="10"/>
  <c r="B134" i="10"/>
  <c r="G133" i="10"/>
  <c r="E134" i="10" l="1"/>
  <c r="H134" i="10"/>
  <c r="D134" i="10"/>
  <c r="F134" i="10" s="1"/>
  <c r="I134" i="10" s="1"/>
  <c r="C134" i="10"/>
  <c r="B135" i="10"/>
  <c r="G134" i="10"/>
  <c r="E135" i="10" l="1"/>
  <c r="H135" i="10"/>
  <c r="D135" i="10"/>
  <c r="F135" i="10" s="1"/>
  <c r="I135" i="10" s="1"/>
  <c r="C135" i="10"/>
  <c r="B136" i="10"/>
  <c r="G135" i="10"/>
  <c r="E136" i="10" l="1"/>
  <c r="H136" i="10"/>
  <c r="D136" i="10"/>
  <c r="F136" i="10" s="1"/>
  <c r="I136" i="10" s="1"/>
  <c r="C136" i="10"/>
  <c r="B137" i="10"/>
  <c r="G136" i="10"/>
  <c r="E137" i="10" l="1"/>
  <c r="H137" i="10"/>
  <c r="D137" i="10"/>
  <c r="F137" i="10" s="1"/>
  <c r="I137" i="10" s="1"/>
  <c r="I6" i="10" s="1"/>
  <c r="I7" i="10" s="1"/>
  <c r="C137" i="10"/>
  <c r="G137" i="10"/>
</calcChain>
</file>

<file path=xl/sharedStrings.xml><?xml version="1.0" encoding="utf-8"?>
<sst xmlns="http://schemas.openxmlformats.org/spreadsheetml/2006/main" count="110" uniqueCount="100">
  <si>
    <t>Cuota</t>
  </si>
  <si>
    <t>Centro coste</t>
  </si>
  <si>
    <t>Nombre</t>
  </si>
  <si>
    <t>Fecha firma</t>
  </si>
  <si>
    <t>Años</t>
  </si>
  <si>
    <t>Importe</t>
  </si>
  <si>
    <t>% interés</t>
  </si>
  <si>
    <t>Tipo préstamo</t>
  </si>
  <si>
    <t>Cuotas pagadas</t>
  </si>
  <si>
    <t>Gestión</t>
  </si>
  <si>
    <t>% gestión</t>
  </si>
  <si>
    <t>19% IRPF</t>
  </si>
  <si>
    <t>Día pago</t>
  </si>
  <si>
    <t>Primer pago</t>
  </si>
  <si>
    <t>Importe primer pago</t>
  </si>
  <si>
    <t>Neto</t>
  </si>
  <si>
    <t>Total inversión</t>
  </si>
  <si>
    <t>Segundo pago</t>
  </si>
  <si>
    <t>Días primer pago</t>
  </si>
  <si>
    <t>Días segundo pago</t>
  </si>
  <si>
    <t>Importe segundo pago</t>
  </si>
  <si>
    <t>En adelante</t>
  </si>
  <si>
    <t>firma préstamo</t>
  </si>
  <si>
    <t>Firma CCPP</t>
  </si>
  <si>
    <t>Total</t>
  </si>
  <si>
    <t>Transferido</t>
  </si>
  <si>
    <t>Jerez</t>
  </si>
  <si>
    <t>Operación</t>
  </si>
  <si>
    <t>IRPF</t>
  </si>
  <si>
    <t>Inversión partícipe</t>
  </si>
  <si>
    <t>Prticipación en %</t>
  </si>
  <si>
    <t>Cuota mensual prestatario</t>
  </si>
  <si>
    <t>Sierra Madrid</t>
  </si>
  <si>
    <t>Situación</t>
  </si>
  <si>
    <t>Inversión</t>
  </si>
  <si>
    <t>Importe CCPP</t>
  </si>
  <si>
    <t>Desglose por operación (Resumen)</t>
  </si>
  <si>
    <t>Item</t>
  </si>
  <si>
    <t>Créditos en los que podría colaborar el partícipe</t>
  </si>
  <si>
    <t>Vencimiento
/Cancelación</t>
  </si>
  <si>
    <t>Fecha cancelación</t>
  </si>
  <si>
    <t>Fecha apertura</t>
  </si>
  <si>
    <t xml:space="preserve">Fecha último pago </t>
  </si>
  <si>
    <t>Meses obligado cumplimiento</t>
  </si>
  <si>
    <t>Importe préstamo</t>
  </si>
  <si>
    <t>Participación CCPP</t>
  </si>
  <si>
    <t>% préstamo cancelado</t>
  </si>
  <si>
    <t>Cuota préstamo</t>
  </si>
  <si>
    <t>Interés</t>
  </si>
  <si>
    <t>Bº transferido</t>
  </si>
  <si>
    <t>Retención</t>
  </si>
  <si>
    <t>Bº neto</t>
  </si>
  <si>
    <t>A percibir (principal + última cuota)</t>
  </si>
  <si>
    <t>Parámetros de la operación</t>
  </si>
  <si>
    <t>Días última cuota</t>
  </si>
  <si>
    <t>% participación</t>
  </si>
  <si>
    <t>Última cuota pendiente</t>
  </si>
  <si>
    <t>Gestión (2%)</t>
  </si>
  <si>
    <t>En negrita la información que aparece en el comunicado</t>
  </si>
  <si>
    <t>Particiáción CCPP</t>
  </si>
  <si>
    <t>Última cuota</t>
  </si>
  <si>
    <t>Total a percibir</t>
  </si>
  <si>
    <t>Relación operaciones canceladas</t>
  </si>
  <si>
    <t>Fecha obligado cumplimiento</t>
  </si>
  <si>
    <r>
      <t xml:space="preserve">Transferido </t>
    </r>
    <r>
      <rPr>
        <sz val="9"/>
        <color theme="1"/>
        <rFont val="Calibri"/>
        <family val="2"/>
        <scheme val="minor"/>
      </rPr>
      <t>(651.1)</t>
    </r>
  </si>
  <si>
    <r>
      <t xml:space="preserve">Gestión </t>
    </r>
    <r>
      <rPr>
        <sz val="9"/>
        <color theme="1"/>
        <rFont val="Calibri"/>
        <family val="2"/>
        <scheme val="minor"/>
      </rPr>
      <t>(7511.10)</t>
    </r>
  </si>
  <si>
    <r>
      <t xml:space="preserve">En adelante </t>
    </r>
    <r>
      <rPr>
        <sz val="9"/>
        <color theme="1"/>
        <rFont val="Calibri"/>
        <family val="2"/>
        <scheme val="minor"/>
      </rPr>
      <t>(419.1)</t>
    </r>
  </si>
  <si>
    <r>
      <t xml:space="preserve">19% IRPF </t>
    </r>
    <r>
      <rPr>
        <sz val="9"/>
        <color theme="1"/>
        <rFont val="Calibri"/>
        <family val="2"/>
        <scheme val="minor"/>
      </rPr>
      <t>(473.6)</t>
    </r>
  </si>
  <si>
    <r>
      <t xml:space="preserve">Neto </t>
    </r>
    <r>
      <rPr>
        <sz val="9"/>
        <color theme="1"/>
        <rFont val="Calibri"/>
        <family val="2"/>
        <scheme val="minor"/>
      </rPr>
      <t>(572.7)</t>
    </r>
  </si>
  <si>
    <t>Carencia</t>
  </si>
  <si>
    <t>Días pago 1</t>
  </si>
  <si>
    <t>Días pago 2</t>
  </si>
  <si>
    <t>Saca los datos maestros de "1 - Operaciones de Capital Privado.xlsx"</t>
  </si>
  <si>
    <t>El fichero tiene que estar abierto</t>
  </si>
  <si>
    <t xml:space="preserve">Rentabilidad anualizada </t>
  </si>
  <si>
    <t>% rentabilidad</t>
  </si>
  <si>
    <t>Nota: Estos importes aplican si no se produce ningun impago ni se generan gastos extraordinarios</t>
  </si>
  <si>
    <t>Fecha firma CCPP</t>
  </si>
  <si>
    <t>Prueba 1</t>
  </si>
  <si>
    <t>Americano</t>
  </si>
  <si>
    <t>Activa</t>
  </si>
  <si>
    <t xml:space="preserve">Cuadro amortización </t>
  </si>
  <si>
    <t xml:space="preserve"> </t>
  </si>
  <si>
    <t>Fecha inicio préstamo</t>
  </si>
  <si>
    <t>Gastos a considerar para el cálculo del TAE:</t>
  </si>
  <si>
    <t>TIR mensual:</t>
  </si>
  <si>
    <t>Cimisión apertura</t>
  </si>
  <si>
    <t>TIR anual:</t>
  </si>
  <si>
    <t>importe</t>
  </si>
  <si>
    <t>Nº de cuotas por año</t>
  </si>
  <si>
    <t>Cuotas carencia amortización</t>
  </si>
  <si>
    <t>Interes Anual</t>
  </si>
  <si>
    <t>Interes Demora</t>
  </si>
  <si>
    <t># Cuota</t>
  </si>
  <si>
    <t>Fecha</t>
  </si>
  <si>
    <t>Amortiz.</t>
  </si>
  <si>
    <t>Pendiente</t>
  </si>
  <si>
    <t>Apertura</t>
  </si>
  <si>
    <t>Para cálculo de la TIR/TAE</t>
  </si>
  <si>
    <t>Poner el importe menos la apertura o lo que percibe el prestatario, dependiendo que como queremos que se calcule el TAE. Lo más correcto es lo que percibe el prestatario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</si>
</sst>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* #,##0\ &quot;€&quot;_-;\-* #,##0\ &quot;€&quot;_-;_-* &quot;-&quot;\ &quot;€&quot;_-;_-@_-"/>
    <numFmt numFmtId="41" formatCode="_-* #,##0_-;\-* #,##0_-;_-* &quot;-&quot;_-;_-@_-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#,##0;\(#,##0\);\-"/>
    <numFmt numFmtId="165" formatCode="0\ &quot;A&quot;"/>
    <numFmt numFmtId="166" formatCode="0\ &quot;E&quot;"/>
    <numFmt numFmtId="167" formatCode="0&quot;x&quot;"/>
    <numFmt numFmtId="168" formatCode="0.0%;\(0.0%\);\-"/>
    <numFmt numFmtId="169" formatCode="#,##0.00;\(#,##0.00\);\-"/>
    <numFmt numFmtId="170" formatCode="0.00%;\(0.00%\);\-"/>
    <numFmt numFmtId="171" formatCode="#,##0.00\ [$€-1]"/>
  </numFmts>
  <fonts count="33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4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7030A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2"/>
      <color rgb="FF00B050"/>
      <name val="Calibri"/>
      <family val="2"/>
      <scheme val="minor"/>
    </font>
    <font>
      <sz val="12"/>
      <name val="Calibri"/>
      <family val="2"/>
      <scheme val="minor"/>
    </font>
    <font>
      <b/>
      <sz val="12"/>
      <color theme="4"/>
      <name val="Calibri"/>
      <family val="2"/>
      <scheme val="minor"/>
    </font>
    <font>
      <sz val="9"/>
      <color theme="1"/>
      <name val="Calibri"/>
      <family val="2"/>
      <scheme val="minor"/>
    </font>
    <font>
      <sz val="7"/>
      <color rgb="FFFFFFFF"/>
      <name val="Arimo"/>
    </font>
    <font>
      <b/>
      <sz val="12"/>
      <color theme="4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0"/>
      <name val="Arimo"/>
    </font>
    <font>
      <b/>
      <sz val="10"/>
      <color rgb="FF00B050"/>
      <name val="Arimo"/>
    </font>
    <font>
      <b/>
      <sz val="10"/>
      <name val="Arial"/>
      <family val="2"/>
    </font>
    <font>
      <sz val="10"/>
      <color rgb="FF00008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B7E1CD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/>
      <bottom style="thin">
        <color indexed="64"/>
      </bottom>
      <diagonal/>
    </border>
  </borders>
  <cellStyleXfs count="62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4" applyNumberFormat="0" applyAlignment="0" applyProtection="0"/>
    <xf numFmtId="0" fontId="7" fillId="3" borderId="5" applyNumberFormat="0" applyAlignment="0" applyProtection="0"/>
    <xf numFmtId="0" fontId="8" fillId="3" borderId="4" applyNumberFormat="0" applyAlignment="0" applyProtection="0"/>
    <xf numFmtId="0" fontId="9" fillId="0" borderId="6" applyNumberFormat="0" applyFill="0" applyAlignment="0" applyProtection="0"/>
    <xf numFmtId="0" fontId="10" fillId="4" borderId="7" applyNumberFormat="0" applyAlignment="0" applyProtection="0"/>
    <xf numFmtId="0" fontId="11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8" applyNumberFormat="0" applyFill="0" applyAlignment="0" applyProtection="0"/>
    <xf numFmtId="0" fontId="14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4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0" fontId="14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" fillId="17" borderId="0" applyNumberFormat="0" applyBorder="0" applyAlignment="0" applyProtection="0"/>
    <xf numFmtId="0" fontId="14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" fillId="21" borderId="0" applyNumberFormat="0" applyBorder="0" applyAlignment="0" applyProtection="0"/>
    <xf numFmtId="0" fontId="14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" fillId="25" borderId="0" applyNumberFormat="0" applyBorder="0" applyAlignment="0" applyProtection="0"/>
    <xf numFmtId="0" fontId="14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" fillId="29" borderId="0" applyNumberFormat="0" applyBorder="0" applyAlignment="0" applyProtection="0"/>
    <xf numFmtId="164" fontId="1" fillId="0" borderId="0" applyFont="0" applyFill="0" applyBorder="0" applyAlignment="0" applyProtection="0"/>
    <xf numFmtId="164" fontId="15" fillId="5" borderId="0" applyNumberFormat="0" applyAlignment="0" applyProtection="0"/>
    <xf numFmtId="164" fontId="10" fillId="30" borderId="0" applyNumberFormat="0" applyAlignment="0" applyProtection="0"/>
    <xf numFmtId="0" fontId="17" fillId="0" borderId="0" applyNumberFormat="0" applyFill="0" applyBorder="0" applyAlignment="0" applyProtection="0"/>
    <xf numFmtId="165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6" fillId="31" borderId="9" applyNumberFormat="0" applyAlignment="0" applyProtection="0"/>
    <xf numFmtId="0" fontId="10" fillId="32" borderId="0" applyNumberFormat="0" applyAlignment="0" applyProtection="0"/>
    <xf numFmtId="0" fontId="18" fillId="33" borderId="0" applyNumberFormat="0" applyBorder="0" applyProtection="0">
      <alignment horizontal="centerContinuous"/>
    </xf>
    <xf numFmtId="0" fontId="13" fillId="34" borderId="0" applyNumberFormat="0" applyBorder="0" applyAlignment="0" applyProtection="0"/>
    <xf numFmtId="0" fontId="10" fillId="35" borderId="0" applyNumberFormat="0" applyBorder="0" applyAlignment="0" applyProtection="0"/>
    <xf numFmtId="0" fontId="19" fillId="0" borderId="0" applyNumberFormat="0" applyFill="0" applyBorder="0" applyAlignment="0" applyProtection="0"/>
    <xf numFmtId="0" fontId="10" fillId="30" borderId="10" applyNumberFormat="0" applyAlignment="0" applyProtection="0"/>
    <xf numFmtId="164" fontId="1" fillId="0" borderId="0" applyFont="0" applyFill="0" applyBorder="0" applyAlignment="0" applyProtection="0"/>
    <xf numFmtId="0" fontId="1" fillId="5" borderId="11" applyNumberFormat="0" applyBorder="0" applyAlignment="0" applyProtection="0"/>
    <xf numFmtId="44" fontId="32" fillId="0" borderId="0" applyFont="0" applyFill="0" applyBorder="0" applyAlignment="0" applyProtection="0"/>
  </cellStyleXfs>
  <cellXfs count="111">
    <xf numFmtId="0" fontId="0" fillId="0" borderId="0" xfId="0"/>
    <xf numFmtId="0" fontId="0" fillId="36" borderId="0" xfId="0" applyFill="1"/>
    <xf numFmtId="0" fontId="15" fillId="5" borderId="0" xfId="44" applyNumberFormat="1"/>
    <xf numFmtId="14" fontId="15" fillId="5" borderId="0" xfId="44" applyNumberFormat="1"/>
    <xf numFmtId="10" fontId="15" fillId="5" borderId="0" xfId="44" applyNumberFormat="1"/>
    <xf numFmtId="0" fontId="12" fillId="36" borderId="0" xfId="51" applyFill="1"/>
    <xf numFmtId="169" fontId="13" fillId="36" borderId="0" xfId="0" applyNumberFormat="1" applyFont="1" applyFill="1"/>
    <xf numFmtId="0" fontId="13" fillId="36" borderId="0" xfId="0" applyFont="1" applyFill="1"/>
    <xf numFmtId="0" fontId="18" fillId="33" borderId="0" xfId="54">
      <alignment horizontal="centerContinuous"/>
    </xf>
    <xf numFmtId="169" fontId="13" fillId="36" borderId="0" xfId="59" applyNumberFormat="1" applyFont="1" applyFill="1"/>
    <xf numFmtId="169" fontId="18" fillId="33" borderId="0" xfId="54" applyNumberFormat="1">
      <alignment horizontal="centerContinuous"/>
    </xf>
    <xf numFmtId="0" fontId="13" fillId="36" borderId="0" xfId="0" applyFont="1" applyFill="1" applyAlignment="1">
      <alignment wrapText="1"/>
    </xf>
    <xf numFmtId="0" fontId="13" fillId="0" borderId="0" xfId="0" applyFont="1"/>
    <xf numFmtId="169" fontId="13" fillId="36" borderId="15" xfId="59" applyNumberFormat="1" applyFont="1" applyFill="1" applyBorder="1"/>
    <xf numFmtId="170" fontId="13" fillId="36" borderId="18" xfId="50" applyNumberFormat="1" applyFont="1" applyFill="1" applyBorder="1"/>
    <xf numFmtId="170" fontId="13" fillId="36" borderId="19" xfId="50" applyNumberFormat="1" applyFont="1" applyFill="1" applyBorder="1"/>
    <xf numFmtId="0" fontId="13" fillId="36" borderId="14" xfId="0" applyFont="1" applyFill="1" applyBorder="1"/>
    <xf numFmtId="0" fontId="13" fillId="36" borderId="17" xfId="0" applyFont="1" applyFill="1" applyBorder="1"/>
    <xf numFmtId="0" fontId="11" fillId="0" borderId="0" xfId="60" applyFont="1" applyFill="1" applyBorder="1"/>
    <xf numFmtId="0" fontId="11" fillId="0" borderId="0" xfId="0" applyFont="1"/>
    <xf numFmtId="9" fontId="15" fillId="5" borderId="0" xfId="44" applyNumberFormat="1"/>
    <xf numFmtId="0" fontId="13" fillId="36" borderId="14" xfId="0" applyFont="1" applyFill="1" applyBorder="1" applyAlignment="1">
      <alignment wrapText="1"/>
    </xf>
    <xf numFmtId="14" fontId="0" fillId="36" borderId="15" xfId="0" applyNumberFormat="1" applyFill="1" applyBorder="1"/>
    <xf numFmtId="0" fontId="0" fillId="36" borderId="16" xfId="0" applyFill="1" applyBorder="1"/>
    <xf numFmtId="0" fontId="13" fillId="36" borderId="20" xfId="0" applyFont="1" applyFill="1" applyBorder="1" applyAlignment="1">
      <alignment wrapText="1"/>
    </xf>
    <xf numFmtId="164" fontId="0" fillId="36" borderId="0" xfId="59" applyFont="1" applyFill="1" applyBorder="1"/>
    <xf numFmtId="0" fontId="0" fillId="36" borderId="21" xfId="0" applyFill="1" applyBorder="1"/>
    <xf numFmtId="169" fontId="1" fillId="36" borderId="0" xfId="59" applyNumberFormat="1" applyFont="1" applyFill="1" applyBorder="1"/>
    <xf numFmtId="169" fontId="20" fillId="36" borderId="0" xfId="0" applyNumberFormat="1" applyFont="1" applyFill="1"/>
    <xf numFmtId="0" fontId="13" fillId="36" borderId="20" xfId="0" applyFont="1" applyFill="1" applyBorder="1"/>
    <xf numFmtId="0" fontId="13" fillId="36" borderId="17" xfId="0" applyFont="1" applyFill="1" applyBorder="1" applyAlignment="1">
      <alignment wrapText="1"/>
    </xf>
    <xf numFmtId="169" fontId="1" fillId="36" borderId="18" xfId="59" applyNumberFormat="1" applyFont="1" applyFill="1" applyBorder="1"/>
    <xf numFmtId="169" fontId="13" fillId="36" borderId="21" xfId="0" applyNumberFormat="1" applyFont="1" applyFill="1" applyBorder="1"/>
    <xf numFmtId="169" fontId="13" fillId="36" borderId="19" xfId="0" applyNumberFormat="1" applyFont="1" applyFill="1" applyBorder="1"/>
    <xf numFmtId="169" fontId="13" fillId="36" borderId="16" xfId="0" applyNumberFormat="1" applyFont="1" applyFill="1" applyBorder="1"/>
    <xf numFmtId="0" fontId="10" fillId="30" borderId="22" xfId="58" applyBorder="1" applyAlignment="1">
      <alignment horizontal="right"/>
    </xf>
    <xf numFmtId="0" fontId="13" fillId="36" borderId="21" xfId="0" applyFont="1" applyFill="1" applyBorder="1" applyAlignment="1">
      <alignment horizontal="right"/>
    </xf>
    <xf numFmtId="14" fontId="19" fillId="36" borderId="0" xfId="59" applyNumberFormat="1" applyFont="1" applyFill="1" applyBorder="1"/>
    <xf numFmtId="164" fontId="19" fillId="36" borderId="0" xfId="59" applyFont="1" applyFill="1" applyBorder="1"/>
    <xf numFmtId="170" fontId="0" fillId="36" borderId="18" xfId="50" applyNumberFormat="1" applyFont="1" applyFill="1" applyBorder="1"/>
    <xf numFmtId="0" fontId="19" fillId="36" borderId="0" xfId="58" applyFont="1" applyFill="1" applyBorder="1" applyAlignment="1">
      <alignment horizontal="right"/>
    </xf>
    <xf numFmtId="0" fontId="19" fillId="36" borderId="15" xfId="58" applyFont="1" applyFill="1" applyBorder="1" applyAlignment="1">
      <alignment horizontal="right"/>
    </xf>
    <xf numFmtId="0" fontId="16" fillId="36" borderId="16" xfId="58" applyFont="1" applyFill="1" applyBorder="1" applyAlignment="1">
      <alignment horizontal="right"/>
    </xf>
    <xf numFmtId="164" fontId="13" fillId="36" borderId="21" xfId="0" applyNumberFormat="1" applyFont="1" applyFill="1" applyBorder="1"/>
    <xf numFmtId="169" fontId="19" fillId="36" borderId="0" xfId="59" applyNumberFormat="1" applyFont="1" applyFill="1" applyBorder="1"/>
    <xf numFmtId="0" fontId="16" fillId="36" borderId="21" xfId="58" applyFont="1" applyFill="1" applyBorder="1" applyAlignment="1">
      <alignment horizontal="right"/>
    </xf>
    <xf numFmtId="169" fontId="13" fillId="36" borderId="0" xfId="59" applyNumberFormat="1" applyFont="1" applyFill="1" applyBorder="1"/>
    <xf numFmtId="164" fontId="13" fillId="36" borderId="15" xfId="59" applyFont="1" applyFill="1" applyBorder="1"/>
    <xf numFmtId="0" fontId="10" fillId="30" borderId="12" xfId="58" applyBorder="1" applyAlignment="1">
      <alignment wrapText="1"/>
    </xf>
    <xf numFmtId="0" fontId="10" fillId="30" borderId="22" xfId="58" applyBorder="1" applyAlignment="1">
      <alignment horizontal="left"/>
    </xf>
    <xf numFmtId="164" fontId="15" fillId="5" borderId="0" xfId="44"/>
    <xf numFmtId="14" fontId="21" fillId="5" borderId="0" xfId="44" applyNumberFormat="1" applyFont="1"/>
    <xf numFmtId="164" fontId="21" fillId="5" borderId="0" xfId="44" applyFont="1"/>
    <xf numFmtId="9" fontId="21" fillId="5" borderId="0" xfId="44" applyNumberFormat="1" applyFont="1"/>
    <xf numFmtId="10" fontId="21" fillId="5" borderId="0" xfId="44" applyNumberFormat="1" applyFont="1"/>
    <xf numFmtId="0" fontId="10" fillId="32" borderId="0" xfId="53" applyAlignment="1">
      <alignment horizontal="centerContinuous"/>
    </xf>
    <xf numFmtId="169" fontId="0" fillId="36" borderId="0" xfId="59" applyNumberFormat="1" applyFont="1" applyFill="1"/>
    <xf numFmtId="1" fontId="0" fillId="36" borderId="0" xfId="0" applyNumberFormat="1" applyFill="1"/>
    <xf numFmtId="170" fontId="13" fillId="36" borderId="0" xfId="50" applyNumberFormat="1" applyFont="1" applyFill="1"/>
    <xf numFmtId="4" fontId="13" fillId="36" borderId="0" xfId="0" applyNumberFormat="1" applyFont="1" applyFill="1"/>
    <xf numFmtId="0" fontId="10" fillId="30" borderId="10" xfId="58"/>
    <xf numFmtId="0" fontId="10" fillId="30" borderId="10" xfId="58" applyAlignment="1">
      <alignment horizontal="right"/>
    </xf>
    <xf numFmtId="169" fontId="20" fillId="36" borderId="0" xfId="59" applyNumberFormat="1" applyFont="1" applyFill="1" applyBorder="1"/>
    <xf numFmtId="164" fontId="0" fillId="36" borderId="0" xfId="43" applyFont="1" applyFill="1" applyBorder="1"/>
    <xf numFmtId="14" fontId="0" fillId="36" borderId="0" xfId="0" applyNumberFormat="1" applyFill="1"/>
    <xf numFmtId="14" fontId="19" fillId="36" borderId="0" xfId="44" applyNumberFormat="1" applyFont="1" applyFill="1"/>
    <xf numFmtId="0" fontId="11" fillId="36" borderId="0" xfId="0" applyFont="1" applyFill="1"/>
    <xf numFmtId="1" fontId="0" fillId="36" borderId="0" xfId="44" applyNumberFormat="1" applyFont="1" applyFill="1"/>
    <xf numFmtId="169" fontId="15" fillId="5" borderId="13" xfId="44" applyNumberFormat="1" applyBorder="1"/>
    <xf numFmtId="164" fontId="0" fillId="36" borderId="0" xfId="44" applyNumberFormat="1" applyFont="1" applyFill="1"/>
    <xf numFmtId="0" fontId="0" fillId="36" borderId="0" xfId="44" applyNumberFormat="1" applyFont="1" applyFill="1"/>
    <xf numFmtId="164" fontId="15" fillId="5" borderId="0" xfId="44" applyNumberFormat="1"/>
    <xf numFmtId="0" fontId="0" fillId="0" borderId="0" xfId="0"/>
    <xf numFmtId="171" fontId="18" fillId="33" borderId="0" xfId="54" applyNumberFormat="1">
      <alignment horizontal="centerContinuous"/>
    </xf>
    <xf numFmtId="0" fontId="23" fillId="37" borderId="0" xfId="0" applyFont="1" applyFill="1" applyAlignment="1">
      <alignment horizontal="center"/>
    </xf>
    <xf numFmtId="171" fontId="24" fillId="37" borderId="0" xfId="0" applyNumberFormat="1" applyFont="1" applyFill="1" applyAlignment="1" applyProtection="1">
      <alignment horizontal="center"/>
      <protection locked="0"/>
    </xf>
    <xf numFmtId="171" fontId="25" fillId="37" borderId="0" xfId="0" applyNumberFormat="1" applyFont="1" applyFill="1" applyAlignment="1">
      <alignment horizontal="center"/>
    </xf>
    <xf numFmtId="171" fontId="26" fillId="37" borderId="0" xfId="0" applyNumberFormat="1" applyFont="1" applyFill="1" applyAlignment="1">
      <alignment horizontal="center"/>
    </xf>
    <xf numFmtId="171" fontId="27" fillId="37" borderId="0" xfId="0" applyNumberFormat="1" applyFont="1" applyFill="1" applyAlignment="1">
      <alignment horizontal="right"/>
    </xf>
    <xf numFmtId="0" fontId="13" fillId="0" borderId="0" xfId="0" applyFont="1" applyAlignment="1">
      <alignment horizontal="right"/>
    </xf>
    <xf numFmtId="164" fontId="19" fillId="36" borderId="0" xfId="44" applyFont="1" applyFill="1"/>
    <xf numFmtId="14" fontId="28" fillId="37" borderId="0" xfId="0" applyNumberFormat="1" applyFont="1" applyFill="1" applyAlignment="1">
      <alignment horizontal="right" vertical="center"/>
    </xf>
    <xf numFmtId="10" fontId="0" fillId="0" borderId="0" xfId="0" applyNumberFormat="1"/>
    <xf numFmtId="170" fontId="0" fillId="0" borderId="0" xfId="50" applyNumberFormat="1" applyFont="1"/>
    <xf numFmtId="171" fontId="29" fillId="37" borderId="0" xfId="0" applyNumberFormat="1" applyFont="1" applyFill="1" applyAlignment="1">
      <alignment horizontal="right"/>
    </xf>
    <xf numFmtId="171" fontId="27" fillId="37" borderId="0" xfId="0" applyNumberFormat="1" applyFont="1" applyFill="1" applyAlignment="1">
      <alignment horizontal="center"/>
    </xf>
    <xf numFmtId="171" fontId="28" fillId="37" borderId="0" xfId="0" applyNumberFormat="1" applyFont="1" applyFill="1" applyAlignment="1">
      <alignment horizontal="right" vertical="center"/>
    </xf>
    <xf numFmtId="171" fontId="29" fillId="37" borderId="0" xfId="0" applyNumberFormat="1" applyFont="1" applyFill="1"/>
    <xf numFmtId="10" fontId="20" fillId="36" borderId="0" xfId="44" applyNumberFormat="1" applyFont="1" applyFill="1" applyAlignment="1" applyProtection="1">
      <alignment horizontal="right" vertical="center"/>
      <protection locked="0"/>
    </xf>
    <xf numFmtId="0" fontId="0" fillId="36" borderId="0" xfId="0" applyFill="1" applyAlignment="1">
      <alignment horizontal="right"/>
    </xf>
    <xf numFmtId="171" fontId="30" fillId="37" borderId="0" xfId="0" applyNumberFormat="1" applyFont="1" applyFill="1" applyAlignment="1">
      <alignment horizontal="center"/>
    </xf>
    <xf numFmtId="0" fontId="31" fillId="36" borderId="23" xfId="0" applyFont="1" applyFill="1" applyBorder="1"/>
    <xf numFmtId="0" fontId="31" fillId="36" borderId="23" xfId="0" applyFont="1" applyFill="1" applyBorder="1" applyAlignment="1">
      <alignment horizontal="right"/>
    </xf>
    <xf numFmtId="164" fontId="0" fillId="36" borderId="0" xfId="59" applyFont="1" applyFill="1"/>
    <xf numFmtId="164" fontId="26" fillId="36" borderId="0" xfId="59" applyFont="1" applyFill="1"/>
    <xf numFmtId="164" fontId="0" fillId="0" borderId="0" xfId="59" applyFont="1"/>
    <xf numFmtId="164" fontId="0" fillId="0" borderId="0" xfId="0" applyNumberFormat="1"/>
    <xf numFmtId="169" fontId="26" fillId="36" borderId="0" xfId="59" applyNumberFormat="1" applyFont="1" applyFill="1"/>
    <xf numFmtId="0" fontId="0" fillId="36" borderId="23" xfId="0" applyFill="1" applyBorder="1"/>
    <xf numFmtId="14" fontId="0" fillId="36" borderId="23" xfId="0" applyNumberFormat="1" applyFill="1" applyBorder="1"/>
    <xf numFmtId="169" fontId="0" fillId="36" borderId="23" xfId="59" applyNumberFormat="1" applyFont="1" applyFill="1" applyBorder="1"/>
    <xf numFmtId="169" fontId="26" fillId="36" borderId="23" xfId="59" applyNumberFormat="1" applyFont="1" applyFill="1" applyBorder="1"/>
    <xf numFmtId="164" fontId="0" fillId="36" borderId="23" xfId="59" applyFont="1" applyFill="1" applyBorder="1"/>
    <xf numFmtId="164" fontId="0" fillId="0" borderId="23" xfId="59" applyFont="1" applyBorder="1"/>
    <xf numFmtId="44" fontId="0" fillId="36" borderId="0" xfId="61" applyFont="1" applyFill="1"/>
    <xf numFmtId="44" fontId="26" fillId="36" borderId="0" xfId="0" applyNumberFormat="1" applyFont="1" applyFill="1"/>
    <xf numFmtId="171" fontId="0" fillId="36" borderId="0" xfId="0" applyNumberFormat="1" applyFill="1"/>
    <xf numFmtId="14" fontId="15" fillId="5" borderId="0" xfId="44" applyNumberFormat="1" applyAlignment="1" applyProtection="1">
      <alignment horizontal="right" vertical="center"/>
      <protection locked="0"/>
    </xf>
    <xf numFmtId="10" fontId="15" fillId="5" borderId="0" xfId="44" applyNumberFormat="1" applyAlignment="1" applyProtection="1">
      <alignment horizontal="right" vertical="center"/>
      <protection locked="0"/>
    </xf>
    <xf numFmtId="171" fontId="15" fillId="5" borderId="0" xfId="44" applyNumberFormat="1" applyAlignment="1" applyProtection="1">
      <alignment horizontal="right" vertical="center"/>
      <protection locked="0"/>
    </xf>
    <xf numFmtId="0" fontId="15" fillId="5" borderId="0" xfId="44" applyNumberFormat="1" applyAlignment="1" applyProtection="1">
      <alignment horizontal="right" vertical="center"/>
      <protection locked="0"/>
    </xf>
  </cellXfs>
  <cellStyles count="62">
    <cellStyle name="(0.000)" xfId="59" xr:uid="{360A8815-3031-C74A-BE38-C64C70964821}"/>
    <cellStyle name="0x" xfId="49" xr:uid="{C4D2F5BE-2797-2241-9F16-3312A6A0E693}"/>
    <cellStyle name="20% - Énfasis1" xfId="20" builtinId="30" hidden="1"/>
    <cellStyle name="20% - Énfasis2" xfId="24" builtinId="34" hidden="1"/>
    <cellStyle name="20% - Énfasis3" xfId="28" builtinId="38" hidden="1"/>
    <cellStyle name="20% - Énfasis4" xfId="32" builtinId="42" hidden="1"/>
    <cellStyle name="20% - Énfasis5" xfId="36" builtinId="46" hidden="1"/>
    <cellStyle name="20% - Énfasis6" xfId="40" builtinId="50" hidden="1"/>
    <cellStyle name="40% - Énfasis1" xfId="21" builtinId="31" hidden="1"/>
    <cellStyle name="40% - Énfasis2" xfId="25" builtinId="35" hidden="1"/>
    <cellStyle name="40% - Énfasis3" xfId="29" builtinId="39" hidden="1"/>
    <cellStyle name="40% - Énfasis4" xfId="33" builtinId="43" hidden="1"/>
    <cellStyle name="40% - Énfasis5" xfId="37" builtinId="47" hidden="1"/>
    <cellStyle name="40% - Énfasis6" xfId="41" builtinId="51" hidden="1"/>
    <cellStyle name="60% - Énfasis1" xfId="22" builtinId="32" hidden="1"/>
    <cellStyle name="60% - Énfasis2" xfId="26" builtinId="36" hidden="1"/>
    <cellStyle name="60% - Énfasis3" xfId="30" builtinId="40" hidden="1"/>
    <cellStyle name="60% - Énfasis4" xfId="34" builtinId="44" hidden="1"/>
    <cellStyle name="60% - Énfasis5" xfId="38" builtinId="48" hidden="1"/>
    <cellStyle name="60% - Énfasis6" xfId="42" builtinId="52" hidden="1"/>
    <cellStyle name="Actual" xfId="47" xr:uid="{1AE5DA5B-8577-1E41-9C25-4BFDC633CDA0}"/>
    <cellStyle name="Cálculo" xfId="13" builtinId="22" hidden="1"/>
    <cellStyle name="Celda de comprobación" xfId="15" builtinId="23" hidden="1"/>
    <cellStyle name="Celda vinculada" xfId="14" builtinId="24" hidden="1"/>
    <cellStyle name="Edición" xfId="44" xr:uid="{C7E9FA89-6C32-4948-AACC-6E719B3BB6DD}"/>
    <cellStyle name="Encabezado 1" xfId="7" builtinId="16" hidden="1"/>
    <cellStyle name="Encabezado 4" xfId="10" builtinId="19" hidden="1"/>
    <cellStyle name="Énfasis1" xfId="19" builtinId="29" hidden="1"/>
    <cellStyle name="Énfasis2" xfId="23" builtinId="33" hidden="1"/>
    <cellStyle name="Énfasis3" xfId="27" builtinId="37" hidden="1"/>
    <cellStyle name="Énfasis4" xfId="31" builtinId="41" hidden="1"/>
    <cellStyle name="Énfasis5" xfId="35" builtinId="45" hidden="1"/>
    <cellStyle name="Énfasis6" xfId="39" builtinId="49" hidden="1"/>
    <cellStyle name="Entrada" xfId="11" builtinId="20" hidden="1"/>
    <cellStyle name="Estimate" xfId="48" xr:uid="{CEA57298-B115-1048-BD3B-BEE65D4FDFAD}"/>
    <cellStyle name="Importado" xfId="46" xr:uid="{81BECCC5-E4E2-DD41-8AA7-98D9064B219C}"/>
    <cellStyle name="Millares" xfId="1" builtinId="3" hidden="1"/>
    <cellStyle name="Millares" xfId="43" xr:uid="{4CB3B6F5-CDEA-5B4A-9725-4544E6C3E959}"/>
    <cellStyle name="Millares [0]" xfId="2" builtinId="6" hidden="1"/>
    <cellStyle name="Moneda" xfId="3" builtinId="4" hidden="1"/>
    <cellStyle name="Moneda" xfId="61" builtinId="4"/>
    <cellStyle name="Moneda [0]" xfId="4" builtinId="7" hidden="1"/>
    <cellStyle name="Normal" xfId="0" builtinId="0"/>
    <cellStyle name="Notas" xfId="60" builtinId="10" customBuiltin="1"/>
    <cellStyle name="Porcentaje" xfId="5" builtinId="5" hidden="1"/>
    <cellStyle name="Porcentaje" xfId="50" xr:uid="{8CFD7DDB-57D2-A747-8106-9DA6F23A44BA}"/>
    <cellStyle name="Ratio" xfId="51" xr:uid="{5F885D09-6C27-D040-AE01-46E7C0994C53}"/>
    <cellStyle name="Referencia" xfId="57" xr:uid="{719B5A24-A0C5-6846-8C01-9C891358188C}"/>
    <cellStyle name="Revisar" xfId="55" xr:uid="{D9057262-D2EE-5142-909B-861008F12610}"/>
    <cellStyle name="Salida" xfId="12" builtinId="21" hidden="1"/>
    <cellStyle name="Seguir aquí" xfId="56" xr:uid="{EDAB289F-CF0A-4947-8E16-927D39093D92}"/>
    <cellStyle name="Subtítulo" xfId="53" xr:uid="{B5245067-A6D1-814A-BB61-87C8937CB0F3}"/>
    <cellStyle name="Subtotal" xfId="52" xr:uid="{B4AC952D-E62E-1448-B86A-A65F58828772}"/>
    <cellStyle name="Super título" xfId="54" xr:uid="{3492EC00-70CB-6343-9106-E67591F5E68A}"/>
    <cellStyle name="Texto de advertencia" xfId="16" builtinId="11" hidden="1"/>
    <cellStyle name="Texto explicativo" xfId="17" builtinId="53" hidden="1"/>
    <cellStyle name="Tit. column." xfId="58" xr:uid="{78E2E715-A7CD-6F4D-B9B4-013548B402F8}"/>
    <cellStyle name="Título" xfId="6" builtinId="15" hidden="1"/>
    <cellStyle name="Título" xfId="45" xr:uid="{EAA398EC-365D-5647-B14F-EC2ADA6B15C4}"/>
    <cellStyle name="Título 2" xfId="8" builtinId="17" hidden="1"/>
    <cellStyle name="Título 3" xfId="9" builtinId="18" hidden="1"/>
    <cellStyle name="Total" xfId="18" builtinId="25" hidden="1"/>
  </cellStyles>
  <dxfs count="29"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9" formatCode="d/m/yy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;\-"/>
      <fill>
        <patternFill patternType="solid">
          <fgColor indexed="64"/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9" formatCode="#,##0.00;\(#,##0.00\);\-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auto="1"/>
        <name val="Calibri"/>
        <family val="2"/>
        <scheme val="minor"/>
      </font>
      <numFmt numFmtId="169" formatCode="#,##0.00;\(#,##0.00\);\-"/>
      <fill>
        <patternFill patternType="solid">
          <fgColor indexed="64"/>
          <bgColor theme="0"/>
        </patternFill>
      </fill>
    </dxf>
    <dxf>
      <numFmt numFmtId="14" formatCode="0.00%"/>
    </dxf>
    <dxf>
      <numFmt numFmtId="0" formatCode="General"/>
    </dxf>
    <dxf>
      <numFmt numFmtId="19" formatCode="d/m/yy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numFmt numFmtId="169" formatCode="#,##0.00;\(#,##0.00\);\-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64" formatCode="#,##0;\(#,##0\);\-"/>
      <fill>
        <patternFill patternType="solid">
          <fgColor indexed="64"/>
          <bgColor theme="0"/>
        </patternFill>
      </fill>
    </dxf>
    <dxf>
      <numFmt numFmtId="169" formatCode="#,##0.00;\(#,##0.00\);\-"/>
    </dxf>
    <dxf>
      <numFmt numFmtId="169" formatCode="#,##0.00;\(#,##0.00\);\-"/>
      <border diagonalUp="0" diagonalDown="0" outline="0">
        <left/>
        <right/>
        <top style="thin">
          <color theme="4" tint="0.39997558519241921"/>
        </top>
        <bottom/>
      </border>
    </dxf>
    <dxf>
      <numFmt numFmtId="169" formatCode="#,##0.00;\(#,##0.00\);\-"/>
    </dxf>
    <dxf>
      <numFmt numFmtId="164" formatCode="#,##0;\(#,##0\);\-"/>
    </dxf>
    <dxf>
      <numFmt numFmtId="19" formatCode="d/m/yy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1" formatCode="0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0" formatCode="General"/>
      <fill>
        <patternFill patternType="solid">
          <fgColor indexed="64"/>
          <bgColor theme="0"/>
        </patternFill>
      </fill>
    </dxf>
    <dxf>
      <font>
        <strike val="0"/>
        <outline val="0"/>
        <shadow val="0"/>
        <u val="none"/>
        <vertAlign val="baseline"/>
        <sz val="12"/>
        <color rgb="FF00B050"/>
        <name val="Calibri"/>
        <family val="2"/>
        <scheme val="minor"/>
      </font>
      <numFmt numFmtId="19" formatCode="d/m/yy"/>
      <fill>
        <patternFill patternType="solid">
          <fgColor indexed="64"/>
          <bgColor theme="0"/>
        </patternFill>
      </fill>
    </dxf>
    <dxf>
      <numFmt numFmtId="0" formatCode="General"/>
    </dxf>
    <dxf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border outline="0">
        <top style="thin">
          <color theme="0"/>
        </top>
      </border>
    </dxf>
    <dxf>
      <border outline="0">
        <bottom style="thin">
          <color theme="0"/>
        </bottom>
      </border>
    </dxf>
    <dxf>
      <alignment horizontal="general" vertical="bottom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2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rcismagrinabalcells/Dropbox/1%20-%20OFICINA/1-PROMOCIMA/02-CAPITAL%20PRIVADO/01%20-%20Operaciones/1%20-%20Operaciones%20de%20Capital%20Privado.xlsx" TargetMode="External"/><Relationship Id="rId1" Type="http://schemas.openxmlformats.org/officeDocument/2006/relationships/externalLinkPath" Target="/Users/narcismagrinabalcells/Dropbox/1%20-%20OFICINA/1-PROMOCIMA/02-CAPITAL%20PRIVADO/01%20-%20Operaciones/1%20-%20Operaciones%20de%20Capital%20Privado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narcismagrinabalcells/Dropbox/1%20-%20OFICINA/1-PROMOCIMA/02-CAPITAL%20PRIVADO/01%20-%20Operaciones/02%20-%20En%20ana&#769;lisis/00%20-%20Carpeta%20patro&#769;n/Ana&#769;lisis%20operacio&#769;n%20-%20XXXXXX.xlsx" TargetMode="External"/><Relationship Id="rId1" Type="http://schemas.openxmlformats.org/officeDocument/2006/relationships/externalLinkPath" Target="/Users/narcismagrinabalcells/Dropbox/1%20-%20OFICINA/1-PROMOCIMA/02-CAPITAL%20PRIVADO/01%20-%20Operaciones/02%20-%20En%20ana&#769;lisis/00%20-%20Carpeta%20patro&#769;n/Ana&#769;lisis%20operacio&#769;n%20-%20XXXXXX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a Préstamos"/>
      <sheetName val="Tabla Partícipes"/>
      <sheetName val="Tabla Participación CCPP"/>
      <sheetName val="Participación en Préstamos"/>
      <sheetName val="Resumen participación CCPP"/>
      <sheetName val="Evolución"/>
      <sheetName val="Datos gráficos"/>
      <sheetName val="Particulares"/>
      <sheetName val="Empresas"/>
      <sheetName val="Total"/>
      <sheetName val="1 - Operaciones de Capital Priv"/>
    </sheetNames>
    <sheetDataSet>
      <sheetData sheetId="0">
        <row r="2">
          <cell r="C2">
            <v>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etición"/>
      <sheetName val="Info"/>
      <sheetName val="Empresa"/>
      <sheetName val="Garantía"/>
      <sheetName val="Fincabilidad"/>
      <sheetName val="Cuentas"/>
      <sheetName val="CIRBBE"/>
      <sheetName val="Pool bancario"/>
      <sheetName val="Condiciones"/>
      <sheetName val="Presupuesto"/>
      <sheetName val="Firma"/>
      <sheetName val="Cuadro amortización"/>
      <sheetName val="Claves CIRB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8">
          <cell r="C8" t="str">
            <v>Americano</v>
          </cell>
        </row>
        <row r="9">
          <cell r="C9" t="str">
            <v>Mensual</v>
          </cell>
        </row>
        <row r="13">
          <cell r="C13">
            <v>27950</v>
          </cell>
        </row>
      </sheetData>
      <sheetData sheetId="9" refreshError="1"/>
      <sheetData sheetId="10"/>
      <sheetData sheetId="11">
        <row r="9">
          <cell r="E9">
            <v>5</v>
          </cell>
        </row>
      </sheetData>
      <sheetData sheetId="12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911A89-19AB-E443-B9FB-68612A74C675}" name="T_Operaciones" displayName="T_Operaciones" ref="B4:T5" headerRowDxfId="28" totalsRowDxfId="25" headerRowBorderDxfId="27" tableBorderDxfId="26" headerRowCellStyle="Tit. column." dataCellStyle="Edición">
  <autoFilter ref="B4:T5" xr:uid="{DC911A89-19AB-E443-B9FB-68612A74C675}"/>
  <sortState xmlns:xlrd2="http://schemas.microsoft.com/office/spreadsheetml/2017/richdata2" ref="B2:R4">
    <sortCondition ref="B4"/>
  </sortState>
  <tableColumns count="19">
    <tableColumn id="1" xr3:uid="{BAB2BC59-C6E4-2140-8A23-8A95DEBC6B7E}" name="Centro coste" totalsRowLabel="Total" dataDxfId="24" dataCellStyle="Edición"/>
    <tableColumn id="2" xr3:uid="{7490EEC7-8679-7E43-9120-2BD8C64CA0B3}" name="Nombre" dataDxfId="23" dataCellStyle="Edición">
      <calculatedColumnFormula>VLOOKUP(T_Operaciones[[#This Row],[Centro coste]],[1]!T_Prestamos[[Centro coste]:[Prestatario]],'[1]Tabla Préstamos'!$C$2,FALSE)</calculatedColumnFormula>
    </tableColumn>
    <tableColumn id="3" xr3:uid="{F696000C-6B82-094B-B065-1D7D603CAC8A}" name="firma préstamo" dataDxfId="22" dataCellStyle="Edición">
      <calculatedColumnFormula>VLOOKUP(T_Operaciones[[#This Row],[Centro coste]],[1]!T_Prestamos[[Centro coste]:[Prestatario]],'[1]Tabla Préstamos'!$D$2,FALSE)</calculatedColumnFormula>
    </tableColumn>
    <tableColumn id="4" xr3:uid="{5F7EA065-87AB-364A-AFA0-737407834933}" name="Años" dataDxfId="21" dataCellStyle="Edición">
      <calculatedColumnFormula>VLOOKUP(T_Operaciones[[#This Row],[Centro coste]],[1]!T_Prestamos[[Centro coste]:[Prestatario]],'[1]Tabla Préstamos'!$E$2,FALSE)</calculatedColumnFormula>
    </tableColumn>
    <tableColumn id="12" xr3:uid="{EF269C03-D5B3-334C-A791-0CE5346DBEA4}" name="Cuotas pagadas" dataDxfId="20" dataCellStyle="Edición">
      <calculatedColumnFormula>DATEDIF(T_Operaciones[[#This Row],[firma préstamo]],IF(T_Operaciones[[#This Row],[Fecha cancelación]]="",TODAY(),T_Operaciones[[#This Row],[Fecha cancelación]]),"M")</calculatedColumnFormula>
    </tableColumn>
    <tableColumn id="5" xr3:uid="{905899E4-94AB-6140-8D43-4F9D0ABA8DB4}" name="Vencimiento_x000a_/Cancelación" dataDxfId="19">
      <calculatedColumnFormula>DATE(YEAR(D5)+E5,MONTH(D5),DAY(D5))</calculatedColumnFormula>
    </tableColumn>
    <tableColumn id="6" xr3:uid="{9C076FB3-8C2B-2444-B9E9-6A2DFFCE8BD0}" name="Importe" dataDxfId="18" totalsRowDxfId="17" dataCellStyle="Edición">
      <calculatedColumnFormula>VLOOKUP(T_Operaciones[[#This Row],[Centro coste]],[1]!T_Prestamos[[Centro coste]:[Prestatario]],'[1]Tabla Préstamos'!$F$2,FALSE)</calculatedColumnFormula>
    </tableColumn>
    <tableColumn id="16" xr3:uid="{ACE7B2DF-DF2D-0943-B053-B8F87868E827}" name="Importe CCPP" dataDxfId="16" totalsRowDxfId="15" dataCellStyle="Edición"/>
    <tableColumn id="10" xr3:uid="{05CC5696-29EC-6A47-B81C-AD5087EF502C}" name="Carencia" dataDxfId="14" totalsRowDxfId="13" dataCellStyle="Edición">
      <calculatedColumnFormula>IF(T_Operaciones[[#This Row],[Tipo préstamo]]="Americano",T_Operaciones[[#This Row],[Años]]*12-1,0)</calculatedColumnFormula>
    </tableColumn>
    <tableColumn id="13" xr3:uid="{6F1E8D9C-3D28-F940-A215-B38D48973AA5}" name="Día pago" dataDxfId="12" dataCellStyle="Edición">
      <calculatedColumnFormula>DAY(T_Operaciones[[#This Row],[Vencimiento
/Cancelación]])</calculatedColumnFormula>
    </tableColumn>
    <tableColumn id="19" xr3:uid="{DBEC6EE8-15F0-6E48-8961-7392EB3A8005}" name="Firma CCPP" dataDxfId="11" dataCellStyle="Edición">
      <calculatedColumnFormula>#REF!</calculatedColumnFormula>
    </tableColumn>
    <tableColumn id="15" xr3:uid="{A705F4CB-8CB7-1942-9A33-BF0BC732D8B6}" name="% gestión" dataDxfId="10" dataCellStyle="Edición"/>
    <tableColumn id="9" xr3:uid="{3E218C19-4B22-9F4D-94A1-AE241DAC96C3}" name="% interés" dataDxfId="9" dataCellStyle="Edición">
      <calculatedColumnFormula>VLOOKUP(T_Operaciones[[#This Row],[Centro coste]],[1]!T_Prestamos[[Centro coste]:[Prestatario]],'[1]Tabla Préstamos'!$G$2,FALSE)</calculatedColumnFormula>
    </tableColumn>
    <tableColumn id="11" xr3:uid="{6E442782-3005-3F4B-91B1-67F5BFB1F935}" name="Cuota" dataDxfId="8" dataCellStyle="(0.000)">
      <calculatedColumnFormula>IF(T_Operaciones[[#This Row],[Tipo préstamo]]="Americano",T_Operaciones[[#This Row],[Importe]]*T_Operaciones[[#This Row],[% interés]]/12,-ROUND(PMT(T_Operaciones[[#This Row],[% interés]]/12,T_Operaciones[[#This Row],[Años]]*12-T_Operaciones[[#This Row],[Carencia]],T_Operaciones[[#This Row],[Importe]]),2))</calculatedColumnFormula>
    </tableColumn>
    <tableColumn id="17" xr3:uid="{EDA28C03-4CFD-EC48-8EBD-01E76DC78FC9}" name="Días pago 1" dataDxfId="7" dataCellStyle="Millares">
      <calculatedColumnFormula>IF(T_Operaciones[[#This Row],[Firma CCPP]]="",0,IF(T_Operaciones[[#This Row],[Día pago]]&gt;DAY(T_Operaciones[[#This Row],[Firma CCPP]]),T_Operaciones[[#This Row],[Día pago]]-DAY(T_Operaciones[[#This Row],[Firma CCPP]]),0))</calculatedColumnFormula>
    </tableColumn>
    <tableColumn id="18" xr3:uid="{52927C0E-4052-C344-9781-25E356976F75}" name="Días pago 2" dataDxfId="6" dataCellStyle="Millares">
      <calculatedColumnFormula>IF(T_Operaciones[[#This Row],[Firma CCPP]]="",0,IF(DAY(T_Operaciones[[#This Row],[Firma CCPP]])&gt;T_Operaciones[[#This Row],[Día pago]],30-DAY(T_Operaciones[[#This Row],[Firma CCPP]])+T_Operaciones[[#This Row],[Día pago]],30))</calculatedColumnFormula>
    </tableColumn>
    <tableColumn id="7" xr3:uid="{AE55CCC2-5D0E-A540-B67C-0FEC4CE3F248}" name="Tipo préstamo" dataDxfId="5" dataCellStyle="Edición">
      <calculatedColumnFormula>VLOOKUP(T_Operaciones[[#This Row],[Centro coste]],[1]!T_Prestamos[[Centro coste]:[Prestatario]],'[1]Tabla Préstamos'!$L$2,FALSE)</calculatedColumnFormula>
    </tableColumn>
    <tableColumn id="14" xr3:uid="{94C30C65-8C3B-EB4E-8B5A-46A968253CB0}" name="Situación" dataDxfId="4" totalsRowDxfId="3" dataCellStyle="Edición">
      <calculatedColumnFormula>VLOOKUP(T_Operaciones[[#This Row],[Centro coste]],[1]!T_Prestamos[[Centro coste]:[Prestatario]],'[1]Tabla Préstamos'!$N$2,FALSE)</calculatedColumnFormula>
    </tableColumn>
    <tableColumn id="20" xr3:uid="{3A07FEED-C2AC-9C4F-8937-B4B29B14EA01}" name="Fecha cancelación" dataDxfId="2" totalsRowDxfId="1" dataCellStyle="Edición">
      <calculatedColumnFormula>IF(T_Operaciones[[#This Row],[Situación]]="Activa","",VLOOKUP(T_Operaciones[[#This Row],[Centro coste]],[1]!T_Prestamos[[Centro coste]:[Prestatario]],'[1]Tabla Préstamos'!$O$2,FALSE))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B57CB-41D9-0649-B313-73BD565DE982}">
  <dimension ref="B1:X48"/>
  <sheetViews>
    <sheetView showGridLines="0" zoomScaleNormal="100" workbookViewId="0">
      <selection activeCell="G17" sqref="G17"/>
    </sheetView>
  </sheetViews>
  <sheetFormatPr baseColWidth="10" defaultColWidth="10.83203125" defaultRowHeight="16"/>
  <cols>
    <col min="1" max="1" width="3.33203125" style="1" customWidth="1"/>
    <col min="2" max="2" width="8.83203125" style="1" customWidth="1"/>
    <col min="3" max="3" width="41.6640625" style="1" customWidth="1"/>
    <col min="4" max="8" width="14" style="1" customWidth="1"/>
    <col min="9" max="9" width="14" customWidth="1"/>
    <col min="10" max="10" width="13.6640625" customWidth="1"/>
    <col min="11" max="11" width="11.5" style="1" customWidth="1"/>
    <col min="12" max="12" width="10.33203125" style="1" bestFit="1" customWidth="1"/>
    <col min="13" max="13" width="9.1640625" style="1" customWidth="1"/>
    <col min="14" max="14" width="9.33203125" style="1" customWidth="1"/>
    <col min="15" max="15" width="11.6640625" style="1" customWidth="1"/>
    <col min="16" max="16" width="13" customWidth="1"/>
    <col min="17" max="17" width="15.33203125" style="1" customWidth="1"/>
    <col min="18" max="18" width="14.5" style="1" customWidth="1"/>
    <col min="19" max="19" width="11" style="1" customWidth="1"/>
    <col min="20" max="20" width="14.6640625" style="1" customWidth="1"/>
    <col min="21" max="16384" width="10.83203125" style="1"/>
  </cols>
  <sheetData>
    <row r="1" spans="2:24" s="5" customFormat="1"/>
    <row r="2" spans="2:24">
      <c r="B2" s="5">
        <f>COLUMN()-1</f>
        <v>1</v>
      </c>
      <c r="C2" s="5">
        <f t="shared" ref="C2:R2" si="0">COLUMN()-1</f>
        <v>2</v>
      </c>
      <c r="D2" s="5">
        <f t="shared" si="0"/>
        <v>3</v>
      </c>
      <c r="E2" s="5">
        <f t="shared" si="0"/>
        <v>4</v>
      </c>
      <c r="F2" s="5">
        <f t="shared" si="0"/>
        <v>5</v>
      </c>
      <c r="G2" s="5">
        <f t="shared" si="0"/>
        <v>6</v>
      </c>
      <c r="H2" s="5">
        <f t="shared" si="0"/>
        <v>7</v>
      </c>
      <c r="I2" s="5">
        <f t="shared" si="0"/>
        <v>8</v>
      </c>
      <c r="J2" s="5">
        <f t="shared" si="0"/>
        <v>9</v>
      </c>
      <c r="K2" s="5">
        <f t="shared" si="0"/>
        <v>10</v>
      </c>
      <c r="L2" s="5">
        <f t="shared" si="0"/>
        <v>11</v>
      </c>
      <c r="M2" s="5">
        <f t="shared" si="0"/>
        <v>12</v>
      </c>
      <c r="N2" s="5">
        <f t="shared" si="0"/>
        <v>13</v>
      </c>
      <c r="O2" s="5">
        <f t="shared" si="0"/>
        <v>14</v>
      </c>
      <c r="P2" s="5">
        <f t="shared" si="0"/>
        <v>15</v>
      </c>
      <c r="Q2" s="5">
        <f t="shared" si="0"/>
        <v>16</v>
      </c>
      <c r="R2" s="5">
        <f t="shared" si="0"/>
        <v>17</v>
      </c>
      <c r="S2" s="1">
        <v>18</v>
      </c>
      <c r="T2" s="1">
        <v>19</v>
      </c>
    </row>
    <row r="3" spans="2:24" s="5" customFormat="1" ht="19">
      <c r="B3" s="8" t="s">
        <v>38</v>
      </c>
      <c r="C3" s="8"/>
      <c r="D3" s="8"/>
      <c r="E3" s="8"/>
      <c r="F3" s="8"/>
      <c r="G3" s="8"/>
      <c r="H3" s="10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</row>
    <row r="4" spans="2:24" ht="34">
      <c r="B4" s="48" t="s">
        <v>1</v>
      </c>
      <c r="C4" s="48" t="s">
        <v>2</v>
      </c>
      <c r="D4" s="48" t="s">
        <v>22</v>
      </c>
      <c r="E4" s="48" t="s">
        <v>4</v>
      </c>
      <c r="F4" s="48" t="s">
        <v>8</v>
      </c>
      <c r="G4" s="48" t="s">
        <v>39</v>
      </c>
      <c r="H4" s="48" t="s">
        <v>5</v>
      </c>
      <c r="I4" s="48" t="s">
        <v>35</v>
      </c>
      <c r="J4" s="48" t="s">
        <v>69</v>
      </c>
      <c r="K4" s="48" t="s">
        <v>12</v>
      </c>
      <c r="L4" s="48" t="s">
        <v>23</v>
      </c>
      <c r="M4" s="48" t="s">
        <v>10</v>
      </c>
      <c r="N4" s="48" t="s">
        <v>6</v>
      </c>
      <c r="O4" s="48" t="s">
        <v>0</v>
      </c>
      <c r="P4" s="48" t="s">
        <v>70</v>
      </c>
      <c r="Q4" s="48" t="s">
        <v>71</v>
      </c>
      <c r="R4" s="48" t="s">
        <v>7</v>
      </c>
      <c r="S4" s="48" t="s">
        <v>33</v>
      </c>
      <c r="T4" s="48" t="s">
        <v>40</v>
      </c>
    </row>
    <row r="5" spans="2:24">
      <c r="B5" s="2">
        <v>2056</v>
      </c>
      <c r="C5" s="2" t="s">
        <v>78</v>
      </c>
      <c r="D5" s="3">
        <v>45470</v>
      </c>
      <c r="E5" s="2">
        <v>10</v>
      </c>
      <c r="F5" s="67">
        <f ca="1">DATEDIF(T_Operaciones[[#This Row],[firma préstamo]],IF(T_Operaciones[[#This Row],[Fecha cancelación]]="",TODAY(),T_Operaciones[[#This Row],[Fecha cancelación]]),"M")</f>
        <v>20</v>
      </c>
      <c r="G5" s="64">
        <f>DATE(YEAR(D5)+E5,MONTH(D5),DAY(D5))</f>
        <v>49122</v>
      </c>
      <c r="H5" s="71">
        <v>100000</v>
      </c>
      <c r="I5" s="68">
        <v>20000</v>
      </c>
      <c r="J5" s="69">
        <f>IF(T_Operaciones[[#This Row],[Tipo préstamo]]="Americano",T_Operaciones[[#This Row],[Años]]*12-1,0)</f>
        <v>119</v>
      </c>
      <c r="K5" s="70">
        <f>DAY(T_Operaciones[[#This Row],[Vencimiento
/Cancelación]])</f>
        <v>27</v>
      </c>
      <c r="L5" s="3">
        <v>45975</v>
      </c>
      <c r="M5" s="4">
        <v>0.02</v>
      </c>
      <c r="N5" s="4">
        <v>0.12</v>
      </c>
      <c r="O5" s="62">
        <f>IF(T_Operaciones[[#This Row],[Tipo préstamo]]="Americano",T_Operaciones[[#This Row],[Importe]]*T_Operaciones[[#This Row],[% interés]]/12,-ROUND(PMT(T_Operaciones[[#This Row],[% interés]]/12,T_Operaciones[[#This Row],[Años]]*12-T_Operaciones[[#This Row],[Carencia]],T_Operaciones[[#This Row],[Importe]]),2))</f>
        <v>1000</v>
      </c>
      <c r="P5" s="63">
        <f>IF(T_Operaciones[[#This Row],[Firma CCPP]]="",0,IF(T_Operaciones[[#This Row],[Día pago]]&gt;DAY(T_Operaciones[[#This Row],[Firma CCPP]]),T_Operaciones[[#This Row],[Día pago]]-DAY(T_Operaciones[[#This Row],[Firma CCPP]]),0))</f>
        <v>13</v>
      </c>
      <c r="Q5" s="63">
        <f>IF(T_Operaciones[[#This Row],[Firma CCPP]]="",0,IF(DAY(T_Operaciones[[#This Row],[Firma CCPP]])&gt;T_Operaciones[[#This Row],[Día pago]],30-DAY(T_Operaciones[[#This Row],[Firma CCPP]])+T_Operaciones[[#This Row],[Día pago]],30))</f>
        <v>30</v>
      </c>
      <c r="R5" s="2" t="s">
        <v>79</v>
      </c>
      <c r="S5" s="2" t="s">
        <v>80</v>
      </c>
      <c r="T5" s="65" t="str">
        <f>IF(T_Operaciones[[#This Row],[Situación]]="Activa","",VLOOKUP(T_Operaciones[[#This Row],[Centro coste]],[1]!T_Prestamos[[Centro coste]:[Prestatario]],'[1]Tabla Préstamos'!$O$2,FALSE))</f>
        <v/>
      </c>
    </row>
    <row r="6" spans="2:24">
      <c r="B6" s="66" t="s">
        <v>72</v>
      </c>
      <c r="K6"/>
      <c r="L6"/>
      <c r="M6"/>
      <c r="N6"/>
      <c r="O6"/>
      <c r="Q6"/>
      <c r="R6"/>
    </row>
    <row r="7" spans="2:24">
      <c r="B7" s="66" t="s">
        <v>73</v>
      </c>
      <c r="C7" s="66"/>
      <c r="D7" s="66"/>
      <c r="K7"/>
      <c r="L7"/>
      <c r="M7"/>
      <c r="N7"/>
      <c r="O7"/>
      <c r="Q7"/>
      <c r="R7"/>
    </row>
    <row r="8" spans="2:24">
      <c r="K8"/>
      <c r="L8"/>
      <c r="M8"/>
      <c r="N8"/>
      <c r="O8"/>
      <c r="Q8"/>
      <c r="R8"/>
      <c r="U8"/>
      <c r="V8"/>
      <c r="W8"/>
      <c r="X8"/>
    </row>
    <row r="9" spans="2:24" ht="19">
      <c r="C9" s="8" t="s">
        <v>36</v>
      </c>
      <c r="D9" s="8"/>
      <c r="E9" s="8"/>
      <c r="F9" s="8"/>
      <c r="G9" s="8"/>
      <c r="K9"/>
      <c r="L9"/>
      <c r="M9"/>
      <c r="N9"/>
      <c r="O9"/>
      <c r="Q9"/>
      <c r="R9"/>
      <c r="S9"/>
      <c r="T9"/>
    </row>
    <row r="10" spans="2:24" ht="17" thickBot="1">
      <c r="C10" s="49" t="s">
        <v>37</v>
      </c>
      <c r="D10" s="35">
        <v>2056</v>
      </c>
      <c r="E10" s="35">
        <v>2061</v>
      </c>
      <c r="F10" s="35">
        <v>2062</v>
      </c>
      <c r="G10" s="35">
        <v>2063</v>
      </c>
      <c r="H10" s="35" t="s">
        <v>24</v>
      </c>
      <c r="I10" s="1"/>
      <c r="K10"/>
      <c r="L10"/>
      <c r="M10"/>
      <c r="N10"/>
      <c r="O10"/>
    </row>
    <row r="11" spans="2:24">
      <c r="C11" s="16" t="s">
        <v>27</v>
      </c>
      <c r="D11" s="41" t="str">
        <f>VLOOKUP(D$10,T_Operaciones[],$C$2)</f>
        <v>Prueba 1</v>
      </c>
      <c r="E11" s="41" t="str">
        <f>VLOOKUP(E$10,T_Operaciones[],$C$2)</f>
        <v>Prueba 1</v>
      </c>
      <c r="F11" s="41" t="str">
        <f>VLOOKUP(F$10,T_Operaciones[],$C$2)</f>
        <v>Prueba 1</v>
      </c>
      <c r="G11" s="41" t="str">
        <f>VLOOKUP(G$10,T_Operaciones[],$C$2)</f>
        <v>Prueba 1</v>
      </c>
      <c r="H11" s="42"/>
      <c r="I11" s="1"/>
      <c r="K11"/>
      <c r="L11"/>
      <c r="M11"/>
      <c r="N11"/>
      <c r="O11"/>
    </row>
    <row r="12" spans="2:24">
      <c r="C12" s="29" t="s">
        <v>33</v>
      </c>
      <c r="D12" s="40" t="str">
        <f>VLOOKUP(D$10,T_Operaciones[],$S$2)</f>
        <v>Activa</v>
      </c>
      <c r="E12" s="40" t="str">
        <f>VLOOKUP(E$10,T_Operaciones[],$S$2)</f>
        <v>Activa</v>
      </c>
      <c r="F12" s="40" t="str">
        <f>VLOOKUP(F$10,T_Operaciones[],$S$2)</f>
        <v>Activa</v>
      </c>
      <c r="G12" s="40" t="str">
        <f>VLOOKUP(G$10,T_Operaciones[],$S$2)</f>
        <v>Activa</v>
      </c>
      <c r="H12" s="45"/>
      <c r="I12" s="1"/>
      <c r="K12"/>
      <c r="L12"/>
      <c r="M12"/>
      <c r="N12"/>
      <c r="O12"/>
    </row>
    <row r="13" spans="2:24">
      <c r="C13" s="29" t="s">
        <v>3</v>
      </c>
      <c r="D13" s="37">
        <f>VLOOKUP(D$10,T_Operaciones[],$L$2)</f>
        <v>45975</v>
      </c>
      <c r="E13" s="37">
        <f>VLOOKUP(E$10,T_Operaciones[],$L$2)</f>
        <v>45975</v>
      </c>
      <c r="F13" s="37">
        <f>VLOOKUP(F$10,T_Operaciones[],$L$2)</f>
        <v>45975</v>
      </c>
      <c r="G13" s="37">
        <f>VLOOKUP(G$10,T_Operaciones[],$L$2)</f>
        <v>45975</v>
      </c>
      <c r="H13" s="36"/>
      <c r="I13" s="1"/>
      <c r="K13"/>
      <c r="L13"/>
      <c r="M13"/>
      <c r="N13"/>
      <c r="O13"/>
    </row>
    <row r="14" spans="2:24">
      <c r="C14" s="29" t="s">
        <v>16</v>
      </c>
      <c r="D14" s="38">
        <f>VLOOKUP(D$10,T_Operaciones[],$H$2)</f>
        <v>100000</v>
      </c>
      <c r="E14" s="38">
        <f>VLOOKUP(E$10,T_Operaciones[],$H$2)</f>
        <v>100000</v>
      </c>
      <c r="F14" s="38">
        <f>VLOOKUP(F$10,T_Operaciones[],$H$2)</f>
        <v>100000</v>
      </c>
      <c r="G14" s="38">
        <f>VLOOKUP(G$10,T_Operaciones[],$H$2)</f>
        <v>100000</v>
      </c>
      <c r="H14" s="43"/>
      <c r="I14" s="1"/>
      <c r="K14"/>
      <c r="L14"/>
      <c r="M14"/>
      <c r="N14"/>
      <c r="O14"/>
    </row>
    <row r="15" spans="2:24">
      <c r="C15" s="29" t="s">
        <v>31</v>
      </c>
      <c r="D15" s="44">
        <f>VLOOKUP(D$10,T_Operaciones[],$O$2)</f>
        <v>1000</v>
      </c>
      <c r="E15" s="44">
        <f>VLOOKUP(E$10,T_Operaciones[],$O$2)</f>
        <v>1000</v>
      </c>
      <c r="F15" s="44">
        <f>VLOOKUP(F$10,T_Operaciones[],$O$2)</f>
        <v>1000</v>
      </c>
      <c r="G15" s="44">
        <f>VLOOKUP(G$10,T_Operaciones[],$O$2)</f>
        <v>1000</v>
      </c>
      <c r="H15" s="43"/>
      <c r="I15" s="1"/>
      <c r="K15"/>
      <c r="L15"/>
      <c r="P15" s="1"/>
    </row>
    <row r="16" spans="2:24">
      <c r="C16" s="29"/>
      <c r="D16" s="44"/>
      <c r="E16" s="44"/>
      <c r="F16" s="44"/>
      <c r="G16" s="44"/>
      <c r="H16" s="43"/>
      <c r="I16" s="1"/>
      <c r="K16"/>
      <c r="L16"/>
      <c r="P16" s="1"/>
    </row>
    <row r="17" spans="2:16">
      <c r="C17" s="29" t="s">
        <v>77</v>
      </c>
      <c r="D17" s="37">
        <f>VLOOKUP(D$10,T_Operaciones[],$L$2)</f>
        <v>45975</v>
      </c>
      <c r="E17" s="37">
        <f>VLOOKUP(E$10,T_Operaciones[],$L$2)</f>
        <v>45975</v>
      </c>
      <c r="F17" s="37">
        <f>VLOOKUP(F$10,T_Operaciones[],$L$2)</f>
        <v>45975</v>
      </c>
      <c r="G17" s="37">
        <f>VLOOKUP(G$10,T_Operaciones[],$L$2)</f>
        <v>45975</v>
      </c>
      <c r="H17" s="43"/>
      <c r="I17" s="1"/>
      <c r="J17" s="1"/>
      <c r="P17" s="1"/>
    </row>
    <row r="18" spans="2:16">
      <c r="C18" s="29" t="s">
        <v>29</v>
      </c>
      <c r="D18" s="38">
        <f>VLOOKUP(D$10,T_Operaciones[],$I$2)</f>
        <v>20000</v>
      </c>
      <c r="E18" s="38">
        <f>VLOOKUP(E$10,T_Operaciones[],$I$2)</f>
        <v>20000</v>
      </c>
      <c r="F18" s="38">
        <f>VLOOKUP(F$10,T_Operaciones[],$I$2)</f>
        <v>20000</v>
      </c>
      <c r="G18" s="38">
        <f>VLOOKUP(G$10,T_Operaciones[],$I$2)</f>
        <v>20000</v>
      </c>
      <c r="H18" s="43"/>
      <c r="I18" s="1"/>
      <c r="J18" s="1"/>
      <c r="P18" s="1"/>
    </row>
    <row r="19" spans="2:16" ht="17" thickBot="1">
      <c r="C19" s="17" t="s">
        <v>30</v>
      </c>
      <c r="D19" s="39">
        <f t="shared" ref="D19" si="1">D18/D14</f>
        <v>0.2</v>
      </c>
      <c r="E19" s="39">
        <f t="shared" ref="E19:G19" si="2">E18/E14</f>
        <v>0.2</v>
      </c>
      <c r="F19" s="39">
        <f t="shared" si="2"/>
        <v>0.2</v>
      </c>
      <c r="G19" s="39">
        <f t="shared" si="2"/>
        <v>0.2</v>
      </c>
      <c r="H19" s="15"/>
      <c r="I19" s="1"/>
      <c r="J19" s="1"/>
      <c r="P19" s="1"/>
    </row>
    <row r="20" spans="2:16" ht="17" thickBot="1">
      <c r="C20" s="7"/>
      <c r="D20" s="12"/>
      <c r="E20" s="12"/>
      <c r="F20" s="12"/>
      <c r="G20" s="12"/>
      <c r="I20" s="1"/>
      <c r="J20" s="1"/>
      <c r="P20" s="1"/>
    </row>
    <row r="21" spans="2:16" ht="17">
      <c r="C21" s="21" t="s">
        <v>13</v>
      </c>
      <c r="D21" s="22">
        <f>DATE(YEAR(D$13+30),MONTH(D$13+30),10)</f>
        <v>46001</v>
      </c>
      <c r="E21" s="22">
        <f>DATE(YEAR(E$13+30),MONTH(E$13+30),10)</f>
        <v>46001</v>
      </c>
      <c r="F21" s="22">
        <f>DATE(YEAR(F$13+30),MONTH(F$13+30),10)</f>
        <v>46001</v>
      </c>
      <c r="G21" s="22">
        <f>DATE(YEAR(G$13+30),MONTH(G$13+30),10)</f>
        <v>46001</v>
      </c>
      <c r="H21" s="23"/>
      <c r="I21" s="1"/>
      <c r="J21" s="1"/>
      <c r="P21" s="1"/>
    </row>
    <row r="22" spans="2:16" ht="17">
      <c r="C22" s="24" t="s">
        <v>18</v>
      </c>
      <c r="D22" s="25">
        <f>VLOOKUP(D$10,T_Operaciones[],$P$2)</f>
        <v>13</v>
      </c>
      <c r="E22" s="25">
        <f>VLOOKUP(E$10,T_Operaciones[],$P$2)</f>
        <v>13</v>
      </c>
      <c r="F22" s="25">
        <f>VLOOKUP(F$10,T_Operaciones[],$P$2)</f>
        <v>13</v>
      </c>
      <c r="G22" s="25">
        <f>VLOOKUP(G$10,T_Operaciones[],$P$2)</f>
        <v>13</v>
      </c>
      <c r="H22" s="26"/>
      <c r="I22" s="1"/>
      <c r="J22" s="1"/>
      <c r="P22" s="1"/>
    </row>
    <row r="23" spans="2:16" ht="17">
      <c r="C23" s="24" t="s">
        <v>25</v>
      </c>
      <c r="D23" s="27">
        <f>ROUND(D$38*D22/30,2)</f>
        <v>86.67</v>
      </c>
      <c r="E23" s="27">
        <f>ROUND(E$38*E22/30,2)</f>
        <v>86.67</v>
      </c>
      <c r="F23" s="27">
        <f t="shared" ref="F23" si="3">ROUND(F$38*F22/30,2)</f>
        <v>86.67</v>
      </c>
      <c r="G23" s="27">
        <f t="shared" ref="G23" si="4">ROUND(G$38*G22/30,2)</f>
        <v>86.67</v>
      </c>
      <c r="H23" s="26"/>
      <c r="I23" s="1"/>
      <c r="J23" s="1"/>
      <c r="P23" s="1"/>
    </row>
    <row r="24" spans="2:16" ht="17">
      <c r="C24" s="24" t="s">
        <v>9</v>
      </c>
      <c r="D24" s="27">
        <f>ROUND(D$39*D22/30,2)</f>
        <v>14.44</v>
      </c>
      <c r="E24" s="27">
        <f>ROUND(E$39*E22/30,2)</f>
        <v>14.44</v>
      </c>
      <c r="F24" s="27">
        <f t="shared" ref="F24" si="5">ROUND(F$39*F22/30,2)</f>
        <v>14.44</v>
      </c>
      <c r="G24" s="27">
        <f t="shared" ref="G24" si="6">ROUND(G$39*G22/30,2)</f>
        <v>14.44</v>
      </c>
      <c r="H24" s="32"/>
      <c r="I24" s="1"/>
      <c r="J24" s="1"/>
      <c r="P24" s="1"/>
    </row>
    <row r="25" spans="2:16" ht="17">
      <c r="C25" s="24" t="s">
        <v>14</v>
      </c>
      <c r="D25" s="28">
        <f t="shared" ref="D25" si="7">(D23-D24)</f>
        <v>72.23</v>
      </c>
      <c r="E25" s="28">
        <f t="shared" ref="E25:G25" si="8">(E23-E24)</f>
        <v>72.23</v>
      </c>
      <c r="F25" s="28">
        <f t="shared" si="8"/>
        <v>72.23</v>
      </c>
      <c r="G25" s="28">
        <f t="shared" si="8"/>
        <v>72.23</v>
      </c>
      <c r="H25" s="32"/>
      <c r="I25" s="1"/>
      <c r="J25" s="1"/>
      <c r="P25" s="1"/>
    </row>
    <row r="26" spans="2:16">
      <c r="B26" s="20">
        <v>0.19</v>
      </c>
      <c r="C26" s="29" t="s">
        <v>28</v>
      </c>
      <c r="D26" s="27">
        <f>ROUND(-D25*$B$26,2)</f>
        <v>-13.72</v>
      </c>
      <c r="E26" s="27">
        <f>ROUND(-E25*$B$26,2)</f>
        <v>-13.72</v>
      </c>
      <c r="F26" s="27">
        <f>ROUND(-F25*$B$26,2)</f>
        <v>-13.72</v>
      </c>
      <c r="G26" s="27">
        <f>ROUND(-G25*$B$26,2)</f>
        <v>-13.72</v>
      </c>
      <c r="H26" s="32"/>
      <c r="I26" s="1"/>
      <c r="J26" s="1"/>
      <c r="P26" s="1"/>
    </row>
    <row r="27" spans="2:16" ht="18" thickBot="1">
      <c r="C27" s="30" t="s">
        <v>15</v>
      </c>
      <c r="D27" s="31">
        <f t="shared" ref="D27" si="9">D25+D26</f>
        <v>58.510000000000005</v>
      </c>
      <c r="E27" s="31">
        <f t="shared" ref="E27:G27" si="10">E25+E26</f>
        <v>58.510000000000005</v>
      </c>
      <c r="F27" s="31">
        <f t="shared" si="10"/>
        <v>58.510000000000005</v>
      </c>
      <c r="G27" s="31">
        <f t="shared" si="10"/>
        <v>58.510000000000005</v>
      </c>
      <c r="H27" s="33"/>
      <c r="I27" s="1"/>
      <c r="J27" s="1"/>
      <c r="P27" s="1"/>
    </row>
    <row r="28" spans="2:16" ht="17" thickBot="1">
      <c r="C28" s="7"/>
      <c r="D28" s="7"/>
      <c r="E28" s="7"/>
      <c r="F28" s="7"/>
      <c r="G28" s="7"/>
      <c r="I28" s="1"/>
      <c r="J28" s="1"/>
      <c r="P28" s="1"/>
    </row>
    <row r="29" spans="2:16" ht="17">
      <c r="C29" s="21" t="s">
        <v>17</v>
      </c>
      <c r="D29" s="22">
        <f t="shared" ref="D29:E29" si="11">EOMONTH(D21,0)+10</f>
        <v>46032</v>
      </c>
      <c r="E29" s="22">
        <f t="shared" si="11"/>
        <v>46032</v>
      </c>
      <c r="F29" s="22">
        <f t="shared" ref="F29" si="12">EOMONTH(F21,0)+10</f>
        <v>46032</v>
      </c>
      <c r="G29" s="22">
        <f t="shared" ref="G29" si="13">EOMONTH(G21,0)+10</f>
        <v>46032</v>
      </c>
      <c r="H29" s="23"/>
      <c r="I29" s="1"/>
      <c r="J29" s="1"/>
      <c r="P29" s="1"/>
    </row>
    <row r="30" spans="2:16" ht="17">
      <c r="C30" s="24" t="s">
        <v>19</v>
      </c>
      <c r="D30" s="25">
        <f>VLOOKUP(D$10,T_Operaciones[],$Q$2)</f>
        <v>30</v>
      </c>
      <c r="E30" s="25">
        <f>VLOOKUP(E$10,T_Operaciones[],$Q$2)</f>
        <v>30</v>
      </c>
      <c r="F30" s="25">
        <f>VLOOKUP(F$10,T_Operaciones[],$Q$2)</f>
        <v>30</v>
      </c>
      <c r="G30" s="25">
        <f>VLOOKUP(G$10,T_Operaciones[],$Q$2)</f>
        <v>30</v>
      </c>
      <c r="H30" s="26"/>
      <c r="I30" s="1"/>
      <c r="J30" s="1"/>
      <c r="P30" s="1"/>
    </row>
    <row r="31" spans="2:16" ht="17">
      <c r="C31" s="24" t="s">
        <v>25</v>
      </c>
      <c r="D31" s="27">
        <f>ROUND(D$38*D30/30,2)</f>
        <v>200</v>
      </c>
      <c r="E31" s="27">
        <f>ROUND(E$38*E30/30,2)</f>
        <v>200</v>
      </c>
      <c r="F31" s="27">
        <f t="shared" ref="F31" si="14">ROUND(F$38*F30/30,2)</f>
        <v>200</v>
      </c>
      <c r="G31" s="27">
        <f t="shared" ref="G31" si="15">ROUND(G$38*G30/30,2)</f>
        <v>200</v>
      </c>
      <c r="H31" s="26"/>
      <c r="I31" s="1"/>
      <c r="J31" s="1"/>
      <c r="P31" s="1"/>
    </row>
    <row r="32" spans="2:16" ht="17">
      <c r="C32" s="24" t="s">
        <v>9</v>
      </c>
      <c r="D32" s="27">
        <f>ROUND(D$39*D30/30,2)</f>
        <v>33.33</v>
      </c>
      <c r="E32" s="27">
        <f>ROUND(E$39*E30/30,2)</f>
        <v>33.33</v>
      </c>
      <c r="F32" s="27">
        <f t="shared" ref="F32" si="16">ROUND(F$39*F30/30,2)</f>
        <v>33.33</v>
      </c>
      <c r="G32" s="27">
        <f t="shared" ref="G32" si="17">ROUND(G$39*G30/30,2)</f>
        <v>33.33</v>
      </c>
      <c r="H32" s="32"/>
      <c r="I32" s="1"/>
      <c r="J32" s="1"/>
      <c r="P32" s="1"/>
    </row>
    <row r="33" spans="3:16" ht="17">
      <c r="C33" s="24" t="s">
        <v>20</v>
      </c>
      <c r="D33" s="28">
        <f t="shared" ref="D33" si="18">(D31-D32)</f>
        <v>166.67000000000002</v>
      </c>
      <c r="E33" s="28">
        <f t="shared" ref="E33:G33" si="19">(E31-E32)</f>
        <v>166.67000000000002</v>
      </c>
      <c r="F33" s="28">
        <f t="shared" si="19"/>
        <v>166.67000000000002</v>
      </c>
      <c r="G33" s="28">
        <f t="shared" si="19"/>
        <v>166.67000000000002</v>
      </c>
      <c r="H33" s="32"/>
      <c r="I33" s="1"/>
      <c r="J33" s="1"/>
      <c r="K33"/>
      <c r="M33"/>
      <c r="P33" s="1"/>
    </row>
    <row r="34" spans="3:16">
      <c r="C34" s="29" t="s">
        <v>11</v>
      </c>
      <c r="D34" s="27">
        <f>ROUND(-D33*$B$26,2)</f>
        <v>-31.67</v>
      </c>
      <c r="E34" s="27">
        <f>ROUND(-E33*$B$26,2)</f>
        <v>-31.67</v>
      </c>
      <c r="F34" s="27">
        <f>ROUND(-F33*$B$26,2)</f>
        <v>-31.67</v>
      </c>
      <c r="G34" s="27">
        <f>ROUND(-G33*$B$26,2)</f>
        <v>-31.67</v>
      </c>
      <c r="H34" s="32"/>
      <c r="I34" s="1"/>
      <c r="J34" s="1"/>
      <c r="K34"/>
      <c r="M34"/>
      <c r="P34" s="1"/>
    </row>
    <row r="35" spans="3:16" ht="18" thickBot="1">
      <c r="C35" s="30" t="s">
        <v>15</v>
      </c>
      <c r="D35" s="31">
        <f t="shared" ref="D35" si="20">D33+D34</f>
        <v>135</v>
      </c>
      <c r="E35" s="31">
        <f t="shared" ref="E35:G35" si="21">E33+E34</f>
        <v>135</v>
      </c>
      <c r="F35" s="31">
        <f t="shared" si="21"/>
        <v>135</v>
      </c>
      <c r="G35" s="31">
        <f t="shared" si="21"/>
        <v>135</v>
      </c>
      <c r="H35" s="33"/>
      <c r="I35" s="1"/>
      <c r="J35" s="1"/>
      <c r="K35"/>
      <c r="P35" s="1"/>
    </row>
    <row r="36" spans="3:16" ht="17" thickBot="1">
      <c r="C36" s="11"/>
      <c r="D36" s="9"/>
      <c r="E36" s="9"/>
      <c r="F36" s="9"/>
      <c r="G36" s="9"/>
      <c r="H36" s="6"/>
      <c r="I36" s="1"/>
      <c r="J36" s="1"/>
      <c r="P36" s="1"/>
    </row>
    <row r="37" spans="3:16" ht="17">
      <c r="C37" s="21" t="s">
        <v>21</v>
      </c>
      <c r="D37" s="13"/>
      <c r="E37" s="13"/>
      <c r="F37" s="13"/>
      <c r="G37" s="13"/>
      <c r="H37" s="34"/>
      <c r="I37" s="1"/>
      <c r="J37" s="1"/>
      <c r="P37" s="1"/>
    </row>
    <row r="38" spans="3:16" ht="17">
      <c r="C38" s="24" t="s">
        <v>64</v>
      </c>
      <c r="D38" s="27">
        <f t="shared" ref="D38:E38" si="22">ROUND(D15*D19,2)</f>
        <v>200</v>
      </c>
      <c r="E38" s="27">
        <f t="shared" si="22"/>
        <v>200</v>
      </c>
      <c r="F38" s="27">
        <f t="shared" ref="F38" si="23">ROUND(F15*F19,2)</f>
        <v>200</v>
      </c>
      <c r="G38" s="27">
        <f t="shared" ref="G38" si="24">ROUND(G15*G19,2)</f>
        <v>200</v>
      </c>
      <c r="H38" s="32">
        <f>SUMIFS(E38:G38,$E$12:$G$12,"Activa")</f>
        <v>600</v>
      </c>
      <c r="I38" s="1"/>
      <c r="J38" s="1"/>
      <c r="P38" s="1"/>
    </row>
    <row r="39" spans="3:16" ht="17">
      <c r="C39" s="24" t="s">
        <v>65</v>
      </c>
      <c r="D39" s="27">
        <f t="shared" ref="D39:E39" si="25">ROUND(D18*2%/12,2)</f>
        <v>33.33</v>
      </c>
      <c r="E39" s="27">
        <f t="shared" si="25"/>
        <v>33.33</v>
      </c>
      <c r="F39" s="27">
        <f t="shared" ref="F39" si="26">ROUND(F18*2%/12,2)</f>
        <v>33.33</v>
      </c>
      <c r="G39" s="27">
        <f t="shared" ref="G39" si="27">ROUND(G18*2%/12,2)</f>
        <v>33.33</v>
      </c>
      <c r="H39" s="32">
        <f>SUMIFS(E39:G39,$E$12:$G$12,"Activa")</f>
        <v>99.99</v>
      </c>
      <c r="I39" s="1"/>
      <c r="J39" s="1"/>
      <c r="K39"/>
      <c r="P39" s="1"/>
    </row>
    <row r="40" spans="3:16">
      <c r="C40" s="29" t="s">
        <v>66</v>
      </c>
      <c r="D40" s="28">
        <f t="shared" ref="D40" si="28">D38-D39</f>
        <v>166.67000000000002</v>
      </c>
      <c r="E40" s="28">
        <f t="shared" ref="E40:G40" si="29">E38-E39</f>
        <v>166.67000000000002</v>
      </c>
      <c r="F40" s="28">
        <f t="shared" si="29"/>
        <v>166.67000000000002</v>
      </c>
      <c r="G40" s="28">
        <f t="shared" si="29"/>
        <v>166.67000000000002</v>
      </c>
      <c r="H40" s="32">
        <f>SUMIFS(E40:G40,$E$12:$G$12,"Activa")</f>
        <v>500.01000000000005</v>
      </c>
      <c r="I40" s="1"/>
      <c r="J40" s="1"/>
      <c r="K40"/>
      <c r="P40" s="1"/>
    </row>
    <row r="41" spans="3:16">
      <c r="C41" s="29" t="s">
        <v>67</v>
      </c>
      <c r="D41" s="27">
        <f>ROUND(-D40*$B$26,2)</f>
        <v>-31.67</v>
      </c>
      <c r="E41" s="27">
        <f>ROUND(-E40*$B$26,2)</f>
        <v>-31.67</v>
      </c>
      <c r="F41" s="27">
        <f>ROUND(-F40*$B$26,2)</f>
        <v>-31.67</v>
      </c>
      <c r="G41" s="27">
        <f>ROUND(-G40*$B$26,2)</f>
        <v>-31.67</v>
      </c>
      <c r="H41" s="32">
        <f>SUMIFS(E41:G41,$E$12:$G$12,"Activa")</f>
        <v>-95.01</v>
      </c>
      <c r="I41" s="1"/>
      <c r="J41" s="1"/>
      <c r="K41"/>
      <c r="P41" s="1"/>
    </row>
    <row r="42" spans="3:16" ht="18" thickBot="1">
      <c r="C42" s="30" t="s">
        <v>68</v>
      </c>
      <c r="D42" s="31">
        <f t="shared" ref="D42:E42" si="30">D40+D41</f>
        <v>135</v>
      </c>
      <c r="E42" s="31">
        <f t="shared" si="30"/>
        <v>135</v>
      </c>
      <c r="F42" s="31">
        <f t="shared" ref="F42" si="31">F40+F41</f>
        <v>135</v>
      </c>
      <c r="G42" s="31">
        <f t="shared" ref="G42" si="32">G40+G41</f>
        <v>135</v>
      </c>
      <c r="H42" s="33">
        <f>SUMIFS(E42:G42,$E$12:$G$12,"Activa")</f>
        <v>405</v>
      </c>
      <c r="I42" s="1"/>
      <c r="J42" s="1"/>
      <c r="K42"/>
      <c r="P42" s="1"/>
    </row>
    <row r="43" spans="3:16" ht="17" thickBot="1">
      <c r="C43" s="7"/>
      <c r="I43" s="1"/>
      <c r="J43" s="1"/>
      <c r="P43" s="1"/>
    </row>
    <row r="44" spans="3:16">
      <c r="C44" s="16" t="s">
        <v>34</v>
      </c>
      <c r="D44" s="47">
        <f t="shared" ref="D44:E44" si="33">D18</f>
        <v>20000</v>
      </c>
      <c r="E44" s="47">
        <f t="shared" si="33"/>
        <v>20000</v>
      </c>
      <c r="F44" s="47">
        <f t="shared" ref="F44" si="34">F18</f>
        <v>20000</v>
      </c>
      <c r="G44" s="47">
        <f t="shared" ref="G44" si="35">G18</f>
        <v>20000</v>
      </c>
      <c r="H44" s="34">
        <f>SUMIFS(E44:G44,$E$12:$G$12,"Activa")</f>
        <v>60000</v>
      </c>
      <c r="I44" s="1"/>
      <c r="J44" s="1"/>
      <c r="K44"/>
      <c r="P44" s="1"/>
    </row>
    <row r="45" spans="3:16">
      <c r="C45" s="29" t="s">
        <v>74</v>
      </c>
      <c r="D45" s="46">
        <f t="shared" ref="D45:E45" si="36">IF(D12="Cancelado",0,D40*12)</f>
        <v>2000.0400000000002</v>
      </c>
      <c r="E45" s="46">
        <f t="shared" si="36"/>
        <v>2000.0400000000002</v>
      </c>
      <c r="F45" s="46">
        <f t="shared" ref="F45" si="37">IF(F12="Cancelado",0,F40*12)</f>
        <v>2000.0400000000002</v>
      </c>
      <c r="G45" s="46">
        <f t="shared" ref="G45" si="38">IF(G12="Cancelado",0,G40*12)</f>
        <v>2000.0400000000002</v>
      </c>
      <c r="H45" s="32">
        <f>SUMIFS(E45:G45,$E$12:$G$12,"Activa")</f>
        <v>6000.1200000000008</v>
      </c>
      <c r="I45" s="1"/>
      <c r="J45" s="1"/>
      <c r="K45"/>
      <c r="P45" s="1"/>
    </row>
    <row r="46" spans="3:16" ht="17" thickBot="1">
      <c r="C46" s="17" t="s">
        <v>75</v>
      </c>
      <c r="D46" s="14">
        <f t="shared" ref="D46" si="39">D45/D18</f>
        <v>0.10000200000000001</v>
      </c>
      <c r="E46" s="14">
        <f t="shared" ref="E46:G46" si="40">E45/E18</f>
        <v>0.10000200000000001</v>
      </c>
      <c r="F46" s="14">
        <f t="shared" si="40"/>
        <v>0.10000200000000001</v>
      </c>
      <c r="G46" s="14">
        <f t="shared" si="40"/>
        <v>0.10000200000000001</v>
      </c>
      <c r="H46" s="15">
        <f>H45/H44</f>
        <v>0.10000200000000001</v>
      </c>
      <c r="I46" s="1"/>
      <c r="J46" s="1"/>
      <c r="K46"/>
      <c r="P46" s="1"/>
    </row>
    <row r="48" spans="3:16">
      <c r="C48" s="18" t="s">
        <v>76</v>
      </c>
      <c r="D48" s="18"/>
      <c r="E48" s="19"/>
      <c r="F48" s="19"/>
      <c r="G48" s="19"/>
      <c r="H48" s="19"/>
      <c r="I48" s="1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44024-0398-BA4C-B3A8-C1794ECD92E8}">
  <dimension ref="B2:D31"/>
  <sheetViews>
    <sheetView showGridLines="0" workbookViewId="0">
      <selection activeCell="K20" sqref="K20"/>
    </sheetView>
  </sheetViews>
  <sheetFormatPr baseColWidth="10" defaultRowHeight="16"/>
  <cols>
    <col min="2" max="2" width="37" customWidth="1"/>
    <col min="4" max="4" width="13.33203125" customWidth="1"/>
  </cols>
  <sheetData>
    <row r="2" spans="2:4" ht="19">
      <c r="B2" s="8" t="s">
        <v>62</v>
      </c>
      <c r="C2" s="8"/>
      <c r="D2" s="8"/>
    </row>
    <row r="4" spans="2:4">
      <c r="B4" s="55" t="s">
        <v>53</v>
      </c>
      <c r="C4" s="55"/>
      <c r="D4" s="55"/>
    </row>
    <row r="5" spans="2:4">
      <c r="B5" s="60" t="s">
        <v>37</v>
      </c>
      <c r="C5" s="61" t="s">
        <v>26</v>
      </c>
      <c r="D5" s="61" t="s">
        <v>32</v>
      </c>
    </row>
    <row r="6" spans="2:4">
      <c r="B6" s="7" t="s">
        <v>41</v>
      </c>
      <c r="C6" s="51"/>
      <c r="D6" s="51"/>
    </row>
    <row r="7" spans="2:4">
      <c r="B7" s="7" t="s">
        <v>40</v>
      </c>
      <c r="C7" s="51"/>
      <c r="D7" s="51"/>
    </row>
    <row r="8" spans="2:4">
      <c r="B8" s="1" t="s">
        <v>42</v>
      </c>
      <c r="C8" s="3"/>
      <c r="D8" s="3"/>
    </row>
    <row r="9" spans="2:4">
      <c r="B9" s="1" t="s">
        <v>43</v>
      </c>
      <c r="C9" s="50"/>
      <c r="D9" s="50"/>
    </row>
    <row r="10" spans="2:4">
      <c r="B10" s="1" t="s">
        <v>63</v>
      </c>
      <c r="C10" s="50"/>
      <c r="D10" s="51"/>
    </row>
    <row r="11" spans="2:4">
      <c r="B11" s="7" t="s">
        <v>44</v>
      </c>
      <c r="C11" s="52"/>
      <c r="D11" s="52"/>
    </row>
    <row r="12" spans="2:4">
      <c r="B12" s="7" t="s">
        <v>46</v>
      </c>
      <c r="C12" s="53"/>
      <c r="D12" s="53"/>
    </row>
    <row r="13" spans="2:4">
      <c r="B13" s="1" t="s">
        <v>54</v>
      </c>
      <c r="C13" s="57">
        <f>IF(C7-C8=31,30,C7-C8)</f>
        <v>0</v>
      </c>
      <c r="D13" s="1">
        <f>IF(D10-D8&gt;30,ROUND((D10-D8)/30,0)*30,D10-D8)</f>
        <v>0</v>
      </c>
    </row>
    <row r="14" spans="2:4">
      <c r="B14" s="7" t="s">
        <v>48</v>
      </c>
      <c r="C14" s="54"/>
      <c r="D14" s="54"/>
    </row>
    <row r="15" spans="2:4">
      <c r="B15" s="1" t="s">
        <v>47</v>
      </c>
      <c r="C15" s="56">
        <f>ROUND(C11*C14/12,2)</f>
        <v>0</v>
      </c>
      <c r="D15" s="56">
        <f>ROUND(D11*D14/12,2)</f>
        <v>0</v>
      </c>
    </row>
    <row r="16" spans="2:4">
      <c r="B16" s="1" t="s">
        <v>56</v>
      </c>
      <c r="C16" s="56">
        <f>C15/30*C13</f>
        <v>0</v>
      </c>
      <c r="D16" s="56">
        <f>D15/30*D13</f>
        <v>0</v>
      </c>
    </row>
    <row r="17" spans="2:4">
      <c r="B17" s="1" t="s">
        <v>57</v>
      </c>
      <c r="C17" s="1">
        <f>ROUND(C11*2%/12/30*C13,2)</f>
        <v>0</v>
      </c>
      <c r="D17" s="1">
        <f>ROUND(D11*2%/12/30*D13,2)</f>
        <v>0</v>
      </c>
    </row>
    <row r="19" spans="2:4">
      <c r="B19" s="55" t="s">
        <v>59</v>
      </c>
      <c r="C19" s="55"/>
      <c r="D19" s="55"/>
    </row>
    <row r="20" spans="2:4">
      <c r="B20" s="7" t="s">
        <v>45</v>
      </c>
      <c r="C20" s="50"/>
      <c r="D20" s="50"/>
    </row>
    <row r="21" spans="2:4">
      <c r="B21" s="7" t="s">
        <v>55</v>
      </c>
      <c r="C21" s="58" t="e">
        <f>C20/C11</f>
        <v>#DIV/0!</v>
      </c>
      <c r="D21" s="58" t="e">
        <f>D20/D11</f>
        <v>#DIV/0!</v>
      </c>
    </row>
    <row r="23" spans="2:4">
      <c r="B23" s="55" t="s">
        <v>60</v>
      </c>
      <c r="C23" s="55"/>
      <c r="D23" s="55"/>
    </row>
    <row r="24" spans="2:4">
      <c r="B24" s="7" t="s">
        <v>49</v>
      </c>
      <c r="C24" s="9" t="e">
        <f>ROUND((C16-C17)*C21,2)</f>
        <v>#DIV/0!</v>
      </c>
      <c r="D24" s="9" t="e">
        <f>ROUND((D16-D17)*D21,2)</f>
        <v>#DIV/0!</v>
      </c>
    </row>
    <row r="25" spans="2:4">
      <c r="B25" s="7" t="s">
        <v>50</v>
      </c>
      <c r="C25" s="9" t="e">
        <f>ROUND(-C24*0.19,2)</f>
        <v>#DIV/0!</v>
      </c>
      <c r="D25" s="9" t="e">
        <f>ROUND(-D24*0.19,2)</f>
        <v>#DIV/0!</v>
      </c>
    </row>
    <row r="26" spans="2:4">
      <c r="B26" s="7" t="s">
        <v>51</v>
      </c>
      <c r="C26" s="9" t="e">
        <f>C24+C25</f>
        <v>#DIV/0!</v>
      </c>
      <c r="D26" s="9" t="e">
        <f>D24+D25</f>
        <v>#DIV/0!</v>
      </c>
    </row>
    <row r="28" spans="2:4">
      <c r="B28" s="55" t="s">
        <v>61</v>
      </c>
      <c r="C28" s="55"/>
      <c r="D28" s="55"/>
    </row>
    <row r="29" spans="2:4">
      <c r="B29" s="7" t="s">
        <v>52</v>
      </c>
      <c r="C29" s="59" t="e">
        <f>C26+C20</f>
        <v>#DIV/0!</v>
      </c>
      <c r="D29" s="59" t="e">
        <f>D26+D20</f>
        <v>#DIV/0!</v>
      </c>
    </row>
    <row r="31" spans="2:4">
      <c r="B31" s="12" t="s">
        <v>58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0C8DD-5D85-B24A-B14A-596D4DB736C7}">
  <dimension ref="B1:J499"/>
  <sheetViews>
    <sheetView showGridLines="0" tabSelected="1" workbookViewId="0">
      <selection activeCell="E24" sqref="E24"/>
    </sheetView>
  </sheetViews>
  <sheetFormatPr baseColWidth="10" defaultColWidth="10.83203125" defaultRowHeight="16"/>
  <cols>
    <col min="1" max="1" width="2.1640625" customWidth="1"/>
    <col min="2" max="2" width="7.33203125" bestFit="1" customWidth="1"/>
    <col min="4" max="4" width="14.1640625" customWidth="1"/>
    <col min="5" max="5" width="13.33203125" customWidth="1"/>
    <col min="6" max="7" width="14.33203125" customWidth="1"/>
    <col min="9" max="9" width="23.33203125" customWidth="1"/>
  </cols>
  <sheetData>
    <row r="1" spans="2:9">
      <c r="B1" s="72"/>
      <c r="C1" s="72"/>
      <c r="D1" s="72"/>
      <c r="E1" s="72"/>
      <c r="F1" s="72"/>
    </row>
    <row r="2" spans="2:9" ht="15" customHeight="1">
      <c r="B2" s="8" t="s">
        <v>81</v>
      </c>
      <c r="C2" s="8"/>
      <c r="D2" s="73"/>
      <c r="E2" s="8"/>
      <c r="F2" s="8"/>
      <c r="G2" s="8"/>
      <c r="H2" s="8"/>
      <c r="I2" s="8"/>
    </row>
    <row r="3" spans="2:9" ht="15" customHeight="1">
      <c r="B3" s="74"/>
      <c r="C3" s="74"/>
      <c r="D3" s="75"/>
      <c r="E3" s="75"/>
      <c r="F3" s="75"/>
      <c r="G3" s="75"/>
      <c r="H3" s="1"/>
      <c r="I3" s="1"/>
    </row>
    <row r="4" spans="2:9" ht="15" customHeight="1">
      <c r="B4" s="74"/>
      <c r="C4" s="74"/>
      <c r="D4" s="76"/>
      <c r="E4" s="1"/>
      <c r="F4" s="77" t="s">
        <v>82</v>
      </c>
      <c r="G4" s="77"/>
    </row>
    <row r="5" spans="2:9" ht="15" customHeight="1">
      <c r="B5" s="74"/>
      <c r="C5" s="74"/>
      <c r="D5" s="78" t="s">
        <v>83</v>
      </c>
      <c r="E5" s="107">
        <v>46023</v>
      </c>
      <c r="H5" s="79" t="s">
        <v>84</v>
      </c>
      <c r="I5" s="80">
        <v>0</v>
      </c>
    </row>
    <row r="6" spans="2:9" ht="15" customHeight="1">
      <c r="B6" s="74"/>
      <c r="C6" s="74"/>
      <c r="D6" s="76"/>
      <c r="E6" s="81"/>
      <c r="H6" s="79" t="s">
        <v>85</v>
      </c>
      <c r="I6" s="82" t="e">
        <f>IRR(I17:I137)</f>
        <v>#VALUE!</v>
      </c>
    </row>
    <row r="7" spans="2:9" ht="15" customHeight="1">
      <c r="B7" s="74"/>
      <c r="C7" s="74"/>
      <c r="D7" s="78" t="s">
        <v>86</v>
      </c>
      <c r="E7" s="108">
        <v>0.02</v>
      </c>
      <c r="H7" s="79" t="s">
        <v>87</v>
      </c>
      <c r="I7" s="83" t="e">
        <f>(1+I6)^12-1</f>
        <v>#VALUE!</v>
      </c>
    </row>
    <row r="8" spans="2:9" ht="15" customHeight="1">
      <c r="B8" s="74"/>
      <c r="C8" s="74"/>
      <c r="D8" s="78" t="s">
        <v>88</v>
      </c>
      <c r="E8" s="109">
        <v>80000</v>
      </c>
      <c r="F8" s="77" t="s">
        <v>82</v>
      </c>
      <c r="G8" s="77"/>
    </row>
    <row r="9" spans="2:9" ht="15" customHeight="1">
      <c r="B9" s="74"/>
      <c r="C9" s="74"/>
      <c r="D9" s="78" t="s">
        <v>4</v>
      </c>
      <c r="E9" s="110">
        <v>1.5</v>
      </c>
      <c r="F9" s="1"/>
      <c r="G9" s="1"/>
    </row>
    <row r="10" spans="2:9" ht="15" customHeight="1">
      <c r="B10" s="74"/>
      <c r="C10" s="74"/>
      <c r="D10" s="84" t="s">
        <v>89</v>
      </c>
      <c r="E10" s="110">
        <f>IF([2]Condiciones!C9="Trimestral",4,IF([2]Condiciones!C9="Anual",1,12))</f>
        <v>12</v>
      </c>
      <c r="F10" s="1"/>
      <c r="G10" s="1"/>
    </row>
    <row r="11" spans="2:9" ht="15" customHeight="1">
      <c r="B11" s="74"/>
      <c r="C11" s="74"/>
      <c r="D11" s="84" t="s">
        <v>90</v>
      </c>
      <c r="E11" s="110">
        <v>6</v>
      </c>
      <c r="F11" s="1"/>
      <c r="G11" s="1"/>
    </row>
    <row r="12" spans="2:9" ht="15" customHeight="1">
      <c r="B12" s="74"/>
      <c r="C12" s="74"/>
      <c r="D12" s="85"/>
      <c r="E12" s="86"/>
      <c r="F12" s="84"/>
      <c r="G12" s="84"/>
    </row>
    <row r="13" spans="2:9" ht="15" customHeight="1">
      <c r="B13" s="74"/>
      <c r="C13" s="74"/>
      <c r="D13" s="78" t="s">
        <v>91</v>
      </c>
      <c r="E13" s="108">
        <v>7.0000000000000007E-2</v>
      </c>
      <c r="F13" s="87"/>
      <c r="G13" s="87"/>
    </row>
    <row r="14" spans="2:9" ht="15" customHeight="1">
      <c r="B14" s="74"/>
      <c r="C14" s="74"/>
      <c r="D14" s="78" t="s">
        <v>92</v>
      </c>
      <c r="E14" s="88">
        <f>E13+0.03</f>
        <v>0.1</v>
      </c>
      <c r="F14" s="87"/>
      <c r="G14" s="87"/>
    </row>
    <row r="15" spans="2:9" ht="15" customHeight="1">
      <c r="B15" s="78"/>
      <c r="C15" s="78"/>
      <c r="D15" s="89"/>
      <c r="E15" s="90"/>
      <c r="F15" s="87"/>
      <c r="G15" s="87"/>
    </row>
    <row r="16" spans="2:9">
      <c r="B16" s="91" t="s">
        <v>93</v>
      </c>
      <c r="C16" s="92" t="s">
        <v>94</v>
      </c>
      <c r="D16" s="92" t="s">
        <v>48</v>
      </c>
      <c r="E16" s="92" t="s">
        <v>95</v>
      </c>
      <c r="F16" s="92" t="s">
        <v>0</v>
      </c>
      <c r="G16" s="92" t="s">
        <v>96</v>
      </c>
      <c r="H16" s="92" t="s">
        <v>97</v>
      </c>
      <c r="I16" s="92" t="s">
        <v>98</v>
      </c>
    </row>
    <row r="17" spans="2:10">
      <c r="B17" s="1">
        <v>0</v>
      </c>
      <c r="C17" s="64">
        <f>E5</f>
        <v>46023</v>
      </c>
      <c r="D17" s="93"/>
      <c r="E17" s="93"/>
      <c r="F17" s="94"/>
      <c r="G17" s="93">
        <f>$E$8</f>
        <v>80000</v>
      </c>
      <c r="H17" s="95">
        <f>IF(B17=0,G17*E7,0)</f>
        <v>1600</v>
      </c>
      <c r="I17" s="71">
        <f>E8-[2]Condiciones!C13</f>
        <v>52050</v>
      </c>
      <c r="J17" s="96" t="s">
        <v>99</v>
      </c>
    </row>
    <row r="18" spans="2:10">
      <c r="B18" s="1">
        <f>IFERROR(IF(B17+1&lt;=$E$9*$E$10,B17+1,""),"")</f>
        <v>1</v>
      </c>
      <c r="C18" s="64">
        <f>IF(B18="","",EDATE(C$17,B18))</f>
        <v>46054</v>
      </c>
      <c r="D18" s="56">
        <f t="shared" ref="D18:D81" si="0">IF(B18&lt;=$E$11,-CUMIPMT($E$13/$E$10,$E$9*$E$10-$E$11,$E$8,1,1,0),IF($E$9*$E$10&gt;=B18,-CUMIPMT($E$13/$E$10,$E$9*$E$10-$E$11,$E$8,B18-$E$11,B18-$E$11,0),""))</f>
        <v>466.66666666666515</v>
      </c>
      <c r="E18" s="56">
        <f t="shared" ref="E18:E81" si="1">IF(B18&lt;=$E$11,0,IF($E$9*$E$10&gt;=B18,-CUMPRINC($E$13/$E$10,$E$9*$E$10-$E$11,$E$8,B18-$E$11,B18-$E$11,0),""))</f>
        <v>0</v>
      </c>
      <c r="F18" s="97">
        <f t="shared" ref="F18:F81" si="2">IF(OR(D18="",E18=""),"",D18+E18)</f>
        <v>466.66666666666515</v>
      </c>
      <c r="G18" s="93">
        <f t="shared" ref="G18:G81" si="3">IF($E$9*$E$10&gt;=B18,G17-E18,"")</f>
        <v>80000</v>
      </c>
      <c r="H18" s="95">
        <f t="shared" ref="H18:H81" si="4">IF(B18=0,G18*E8,0)</f>
        <v>0</v>
      </c>
      <c r="I18" s="96">
        <f>H18-F18</f>
        <v>-466.66666666666515</v>
      </c>
    </row>
    <row r="19" spans="2:10">
      <c r="B19" s="1">
        <f t="shared" ref="B19:B82" si="5">IFERROR(IF(B18+1&lt;=$E$9*$E$10,B18+1,""),"")</f>
        <v>2</v>
      </c>
      <c r="C19" s="64">
        <f t="shared" ref="C19:C82" si="6">IF(B19="","",EDATE(C$17,B19))</f>
        <v>46082</v>
      </c>
      <c r="D19" s="56">
        <f t="shared" si="0"/>
        <v>466.66666666666515</v>
      </c>
      <c r="E19" s="56">
        <f t="shared" si="1"/>
        <v>0</v>
      </c>
      <c r="F19" s="97">
        <f t="shared" si="2"/>
        <v>466.66666666666515</v>
      </c>
      <c r="G19" s="93">
        <f t="shared" si="3"/>
        <v>80000</v>
      </c>
      <c r="H19" s="95">
        <f t="shared" si="4"/>
        <v>0</v>
      </c>
      <c r="I19" s="96">
        <f t="shared" ref="I19:I77" si="7">H19-F19</f>
        <v>-466.66666666666515</v>
      </c>
    </row>
    <row r="20" spans="2:10">
      <c r="B20" s="1">
        <f t="shared" si="5"/>
        <v>3</v>
      </c>
      <c r="C20" s="64">
        <f t="shared" si="6"/>
        <v>46113</v>
      </c>
      <c r="D20" s="56">
        <f t="shared" si="0"/>
        <v>466.66666666666515</v>
      </c>
      <c r="E20" s="56">
        <f t="shared" si="1"/>
        <v>0</v>
      </c>
      <c r="F20" s="97">
        <f t="shared" si="2"/>
        <v>466.66666666666515</v>
      </c>
      <c r="G20" s="93">
        <f t="shared" si="3"/>
        <v>80000</v>
      </c>
      <c r="H20" s="95">
        <f t="shared" si="4"/>
        <v>0</v>
      </c>
      <c r="I20" s="96">
        <f t="shared" si="7"/>
        <v>-466.66666666666515</v>
      </c>
    </row>
    <row r="21" spans="2:10">
      <c r="B21" s="1">
        <f t="shared" si="5"/>
        <v>4</v>
      </c>
      <c r="C21" s="64">
        <f t="shared" si="6"/>
        <v>46143</v>
      </c>
      <c r="D21" s="56">
        <f t="shared" si="0"/>
        <v>466.66666666666515</v>
      </c>
      <c r="E21" s="56">
        <f t="shared" si="1"/>
        <v>0</v>
      </c>
      <c r="F21" s="97">
        <f t="shared" si="2"/>
        <v>466.66666666666515</v>
      </c>
      <c r="G21" s="93">
        <f t="shared" si="3"/>
        <v>80000</v>
      </c>
      <c r="H21" s="95">
        <f t="shared" si="4"/>
        <v>0</v>
      </c>
      <c r="I21" s="96">
        <f t="shared" si="7"/>
        <v>-466.66666666666515</v>
      </c>
    </row>
    <row r="22" spans="2:10">
      <c r="B22" s="1">
        <f t="shared" si="5"/>
        <v>5</v>
      </c>
      <c r="C22" s="64">
        <f t="shared" si="6"/>
        <v>46174</v>
      </c>
      <c r="D22" s="56">
        <f t="shared" si="0"/>
        <v>466.66666666666515</v>
      </c>
      <c r="E22" s="56">
        <f t="shared" si="1"/>
        <v>0</v>
      </c>
      <c r="F22" s="97">
        <f t="shared" si="2"/>
        <v>466.66666666666515</v>
      </c>
      <c r="G22" s="93">
        <f t="shared" si="3"/>
        <v>80000</v>
      </c>
      <c r="H22" s="95">
        <f t="shared" si="4"/>
        <v>0</v>
      </c>
      <c r="I22" s="96">
        <f t="shared" si="7"/>
        <v>-466.66666666666515</v>
      </c>
    </row>
    <row r="23" spans="2:10">
      <c r="B23" s="1">
        <f t="shared" si="5"/>
        <v>6</v>
      </c>
      <c r="C23" s="64">
        <f t="shared" si="6"/>
        <v>46204</v>
      </c>
      <c r="D23" s="56">
        <f t="shared" si="0"/>
        <v>466.66666666666515</v>
      </c>
      <c r="E23" s="56">
        <f t="shared" si="1"/>
        <v>0</v>
      </c>
      <c r="F23" s="97">
        <f t="shared" si="2"/>
        <v>466.66666666666515</v>
      </c>
      <c r="G23" s="93">
        <f t="shared" si="3"/>
        <v>80000</v>
      </c>
      <c r="H23" s="95">
        <f t="shared" si="4"/>
        <v>0</v>
      </c>
      <c r="I23" s="96">
        <f t="shared" si="7"/>
        <v>-466.66666666666515</v>
      </c>
    </row>
    <row r="24" spans="2:10">
      <c r="B24" s="1">
        <f t="shared" si="5"/>
        <v>7</v>
      </c>
      <c r="C24" s="64">
        <f t="shared" si="6"/>
        <v>46235</v>
      </c>
      <c r="D24" s="56">
        <f t="shared" si="0"/>
        <v>466.66666666666515</v>
      </c>
      <c r="E24" s="56">
        <f t="shared" si="1"/>
        <v>6455.4730211843789</v>
      </c>
      <c r="F24" s="97">
        <f t="shared" si="2"/>
        <v>6922.1396878510441</v>
      </c>
      <c r="G24" s="93">
        <f t="shared" si="3"/>
        <v>73544.526978815615</v>
      </c>
      <c r="H24" s="95">
        <f t="shared" si="4"/>
        <v>0</v>
      </c>
      <c r="I24" s="96">
        <f t="shared" si="7"/>
        <v>-6922.1396878510441</v>
      </c>
    </row>
    <row r="25" spans="2:10">
      <c r="B25" s="1">
        <f t="shared" si="5"/>
        <v>8</v>
      </c>
      <c r="C25" s="64">
        <f t="shared" si="6"/>
        <v>46266</v>
      </c>
      <c r="D25" s="56">
        <f t="shared" si="0"/>
        <v>429.00974070975735</v>
      </c>
      <c r="E25" s="56">
        <f t="shared" si="1"/>
        <v>6493.1299471412867</v>
      </c>
      <c r="F25" s="97">
        <f t="shared" si="2"/>
        <v>6922.1396878510441</v>
      </c>
      <c r="G25" s="93">
        <f t="shared" si="3"/>
        <v>67051.397031674322</v>
      </c>
      <c r="H25" s="95">
        <f t="shared" si="4"/>
        <v>0</v>
      </c>
      <c r="I25" s="96">
        <f t="shared" si="7"/>
        <v>-6922.1396878510441</v>
      </c>
    </row>
    <row r="26" spans="2:10">
      <c r="B26" s="1">
        <f t="shared" si="5"/>
        <v>9</v>
      </c>
      <c r="C26" s="64">
        <f t="shared" si="6"/>
        <v>46296</v>
      </c>
      <c r="D26" s="56">
        <f t="shared" si="0"/>
        <v>391.13314935143262</v>
      </c>
      <c r="E26" s="56">
        <f t="shared" si="1"/>
        <v>6531.0065384996115</v>
      </c>
      <c r="F26" s="97">
        <f t="shared" si="2"/>
        <v>6922.1396878510441</v>
      </c>
      <c r="G26" s="93">
        <f t="shared" si="3"/>
        <v>60520.390493174709</v>
      </c>
      <c r="H26" s="95">
        <f t="shared" si="4"/>
        <v>0</v>
      </c>
      <c r="I26" s="96">
        <f t="shared" si="7"/>
        <v>-6922.1396878510441</v>
      </c>
    </row>
    <row r="27" spans="2:10">
      <c r="B27" s="1">
        <f t="shared" si="5"/>
        <v>10</v>
      </c>
      <c r="C27" s="64">
        <f t="shared" si="6"/>
        <v>46327</v>
      </c>
      <c r="D27" s="56">
        <f t="shared" si="0"/>
        <v>353.03561121018447</v>
      </c>
      <c r="E27" s="56">
        <f t="shared" si="1"/>
        <v>6569.1040766408596</v>
      </c>
      <c r="F27" s="97">
        <f t="shared" si="2"/>
        <v>6922.1396878510441</v>
      </c>
      <c r="G27" s="93">
        <f t="shared" si="3"/>
        <v>53951.286416533847</v>
      </c>
      <c r="H27" s="95">
        <f t="shared" si="4"/>
        <v>0</v>
      </c>
      <c r="I27" s="96">
        <f t="shared" si="7"/>
        <v>-6922.1396878510441</v>
      </c>
    </row>
    <row r="28" spans="2:10">
      <c r="B28" s="1">
        <f t="shared" si="5"/>
        <v>11</v>
      </c>
      <c r="C28" s="64">
        <f t="shared" si="6"/>
        <v>46357</v>
      </c>
      <c r="D28" s="56">
        <f t="shared" si="0"/>
        <v>314.71583742977964</v>
      </c>
      <c r="E28" s="56">
        <f t="shared" si="1"/>
        <v>6607.4238504212644</v>
      </c>
      <c r="F28" s="97">
        <f t="shared" si="2"/>
        <v>6922.1396878510441</v>
      </c>
      <c r="G28" s="93">
        <f t="shared" si="3"/>
        <v>47343.862566112584</v>
      </c>
      <c r="H28" s="95">
        <f t="shared" si="4"/>
        <v>0</v>
      </c>
      <c r="I28" s="96">
        <f t="shared" si="7"/>
        <v>-6922.1396878510441</v>
      </c>
    </row>
    <row r="29" spans="2:10">
      <c r="B29" s="1">
        <f t="shared" si="5"/>
        <v>12</v>
      </c>
      <c r="C29" s="64">
        <f t="shared" si="6"/>
        <v>46388</v>
      </c>
      <c r="D29" s="56">
        <f t="shared" si="0"/>
        <v>276.1725316356551</v>
      </c>
      <c r="E29" s="56">
        <f t="shared" si="1"/>
        <v>6645.967156215389</v>
      </c>
      <c r="F29" s="97">
        <f t="shared" si="2"/>
        <v>6922.1396878510441</v>
      </c>
      <c r="G29" s="93">
        <f t="shared" si="3"/>
        <v>40697.895409897195</v>
      </c>
      <c r="H29" s="95">
        <f t="shared" si="4"/>
        <v>0</v>
      </c>
      <c r="I29" s="96">
        <f t="shared" si="7"/>
        <v>-6922.1396878510441</v>
      </c>
    </row>
    <row r="30" spans="2:10">
      <c r="B30" s="1">
        <f t="shared" si="5"/>
        <v>13</v>
      </c>
      <c r="C30" s="64">
        <f t="shared" si="6"/>
        <v>46419</v>
      </c>
      <c r="D30" s="56">
        <f t="shared" si="0"/>
        <v>237.40438989106588</v>
      </c>
      <c r="E30" s="56">
        <f t="shared" si="1"/>
        <v>6684.7352979599782</v>
      </c>
      <c r="F30" s="97">
        <f t="shared" si="2"/>
        <v>6922.1396878510441</v>
      </c>
      <c r="G30" s="93">
        <f t="shared" si="3"/>
        <v>34013.160111937221</v>
      </c>
      <c r="H30" s="95">
        <f t="shared" si="4"/>
        <v>0</v>
      </c>
      <c r="I30" s="96">
        <f t="shared" si="7"/>
        <v>-6922.1396878510441</v>
      </c>
    </row>
    <row r="31" spans="2:10">
      <c r="B31" s="1">
        <f t="shared" si="5"/>
        <v>14</v>
      </c>
      <c r="C31" s="64">
        <f t="shared" si="6"/>
        <v>46447</v>
      </c>
      <c r="D31" s="56">
        <f t="shared" si="0"/>
        <v>198.41010065296541</v>
      </c>
      <c r="E31" s="56">
        <f t="shared" si="1"/>
        <v>6723.7295871980787</v>
      </c>
      <c r="F31" s="97">
        <f t="shared" si="2"/>
        <v>6922.1396878510441</v>
      </c>
      <c r="G31" s="93">
        <f t="shared" si="3"/>
        <v>27289.430524739142</v>
      </c>
      <c r="H31" s="95">
        <f t="shared" si="4"/>
        <v>0</v>
      </c>
      <c r="I31" s="96">
        <f t="shared" si="7"/>
        <v>-6922.1396878510441</v>
      </c>
    </row>
    <row r="32" spans="2:10">
      <c r="B32" s="1">
        <f t="shared" si="5"/>
        <v>15</v>
      </c>
      <c r="C32" s="64">
        <f t="shared" si="6"/>
        <v>46478</v>
      </c>
      <c r="D32" s="56">
        <f t="shared" si="0"/>
        <v>159.18834472764411</v>
      </c>
      <c r="E32" s="56">
        <f t="shared" si="1"/>
        <v>6762.9513431234</v>
      </c>
      <c r="F32" s="97">
        <f t="shared" si="2"/>
        <v>6922.1396878510441</v>
      </c>
      <c r="G32" s="93">
        <f t="shared" si="3"/>
        <v>20526.479181615741</v>
      </c>
      <c r="H32" s="95">
        <f t="shared" si="4"/>
        <v>0</v>
      </c>
      <c r="I32" s="96">
        <f t="shared" si="7"/>
        <v>-6922.1396878510441</v>
      </c>
    </row>
    <row r="33" spans="2:9">
      <c r="B33" s="1">
        <f t="shared" si="5"/>
        <v>16</v>
      </c>
      <c r="C33" s="64">
        <f t="shared" si="6"/>
        <v>46508</v>
      </c>
      <c r="D33" s="56">
        <f t="shared" si="0"/>
        <v>119.73779522608947</v>
      </c>
      <c r="E33" s="56">
        <f t="shared" si="1"/>
        <v>6802.4018926249546</v>
      </c>
      <c r="F33" s="97">
        <f t="shared" si="2"/>
        <v>6922.1396878510441</v>
      </c>
      <c r="G33" s="93">
        <f t="shared" si="3"/>
        <v>13724.077288990786</v>
      </c>
      <c r="H33" s="95">
        <f t="shared" si="4"/>
        <v>0</v>
      </c>
      <c r="I33" s="96">
        <f t="shared" si="7"/>
        <v>-6922.1396878510441</v>
      </c>
    </row>
    <row r="34" spans="2:9">
      <c r="B34" s="1">
        <f t="shared" si="5"/>
        <v>17</v>
      </c>
      <c r="C34" s="64">
        <f t="shared" si="6"/>
        <v>46539</v>
      </c>
      <c r="D34" s="56">
        <f t="shared" si="0"/>
        <v>80.057117519111671</v>
      </c>
      <c r="E34" s="56">
        <f t="shared" si="1"/>
        <v>6842.0825703319324</v>
      </c>
      <c r="F34" s="97">
        <f t="shared" si="2"/>
        <v>6922.1396878510441</v>
      </c>
      <c r="G34" s="93">
        <f t="shared" si="3"/>
        <v>6881.9947186588533</v>
      </c>
      <c r="H34" s="95">
        <f t="shared" si="4"/>
        <v>0</v>
      </c>
      <c r="I34" s="96">
        <f t="shared" si="7"/>
        <v>-6922.1396878510441</v>
      </c>
    </row>
    <row r="35" spans="2:9">
      <c r="B35" s="1">
        <f t="shared" si="5"/>
        <v>18</v>
      </c>
      <c r="C35" s="64">
        <f t="shared" si="6"/>
        <v>46569</v>
      </c>
      <c r="D35" s="56">
        <f t="shared" si="0"/>
        <v>40.144969192174358</v>
      </c>
      <c r="E35" s="56">
        <f t="shared" si="1"/>
        <v>6881.9947186588697</v>
      </c>
      <c r="F35" s="97">
        <f t="shared" si="2"/>
        <v>6922.1396878510441</v>
      </c>
      <c r="G35" s="93">
        <f t="shared" si="3"/>
        <v>-1.6370904631912708E-11</v>
      </c>
      <c r="H35" s="95">
        <f t="shared" si="4"/>
        <v>0</v>
      </c>
      <c r="I35" s="96">
        <f t="shared" si="7"/>
        <v>-6922.1396878510441</v>
      </c>
    </row>
    <row r="36" spans="2:9">
      <c r="B36" s="1" t="str">
        <f t="shared" si="5"/>
        <v/>
      </c>
      <c r="C36" s="64" t="str">
        <f t="shared" si="6"/>
        <v/>
      </c>
      <c r="D36" s="56" t="str">
        <f t="shared" si="0"/>
        <v/>
      </c>
      <c r="E36" s="56" t="str">
        <f t="shared" si="1"/>
        <v/>
      </c>
      <c r="F36" s="97" t="str">
        <f t="shared" si="2"/>
        <v/>
      </c>
      <c r="G36" s="93" t="str">
        <f t="shared" si="3"/>
        <v/>
      </c>
      <c r="H36" s="95">
        <f t="shared" si="4"/>
        <v>0</v>
      </c>
      <c r="I36" s="96" t="e">
        <f t="shared" si="7"/>
        <v>#VALUE!</v>
      </c>
    </row>
    <row r="37" spans="2:9">
      <c r="B37" s="1" t="str">
        <f t="shared" si="5"/>
        <v/>
      </c>
      <c r="C37" s="64" t="str">
        <f t="shared" si="6"/>
        <v/>
      </c>
      <c r="D37" s="56" t="str">
        <f t="shared" si="0"/>
        <v/>
      </c>
      <c r="E37" s="56" t="str">
        <f t="shared" si="1"/>
        <v/>
      </c>
      <c r="F37" s="97" t="str">
        <f t="shared" si="2"/>
        <v/>
      </c>
      <c r="G37" s="93" t="str">
        <f t="shared" si="3"/>
        <v/>
      </c>
      <c r="H37" s="95">
        <f t="shared" si="4"/>
        <v>0</v>
      </c>
      <c r="I37" s="96" t="e">
        <f t="shared" si="7"/>
        <v>#VALUE!</v>
      </c>
    </row>
    <row r="38" spans="2:9">
      <c r="B38" s="1" t="str">
        <f t="shared" si="5"/>
        <v/>
      </c>
      <c r="C38" s="64" t="str">
        <f t="shared" si="6"/>
        <v/>
      </c>
      <c r="D38" s="56" t="str">
        <f t="shared" si="0"/>
        <v/>
      </c>
      <c r="E38" s="56" t="str">
        <f t="shared" si="1"/>
        <v/>
      </c>
      <c r="F38" s="97" t="str">
        <f t="shared" si="2"/>
        <v/>
      </c>
      <c r="G38" s="93" t="str">
        <f t="shared" si="3"/>
        <v/>
      </c>
      <c r="H38" s="95">
        <f t="shared" si="4"/>
        <v>0</v>
      </c>
      <c r="I38" s="96" t="e">
        <f t="shared" si="7"/>
        <v>#VALUE!</v>
      </c>
    </row>
    <row r="39" spans="2:9">
      <c r="B39" s="1" t="str">
        <f t="shared" si="5"/>
        <v/>
      </c>
      <c r="C39" s="64" t="str">
        <f t="shared" si="6"/>
        <v/>
      </c>
      <c r="D39" s="56" t="str">
        <f t="shared" si="0"/>
        <v/>
      </c>
      <c r="E39" s="56" t="str">
        <f t="shared" si="1"/>
        <v/>
      </c>
      <c r="F39" s="97" t="str">
        <f t="shared" si="2"/>
        <v/>
      </c>
      <c r="G39" s="93" t="str">
        <f t="shared" si="3"/>
        <v/>
      </c>
      <c r="H39" s="95">
        <f t="shared" si="4"/>
        <v>0</v>
      </c>
      <c r="I39" s="96" t="e">
        <f t="shared" si="7"/>
        <v>#VALUE!</v>
      </c>
    </row>
    <row r="40" spans="2:9">
      <c r="B40" s="1" t="str">
        <f t="shared" si="5"/>
        <v/>
      </c>
      <c r="C40" s="64" t="str">
        <f t="shared" si="6"/>
        <v/>
      </c>
      <c r="D40" s="56" t="str">
        <f t="shared" si="0"/>
        <v/>
      </c>
      <c r="E40" s="56" t="str">
        <f t="shared" si="1"/>
        <v/>
      </c>
      <c r="F40" s="97" t="str">
        <f t="shared" si="2"/>
        <v/>
      </c>
      <c r="G40" s="93" t="str">
        <f t="shared" si="3"/>
        <v/>
      </c>
      <c r="H40" s="95">
        <f t="shared" si="4"/>
        <v>0</v>
      </c>
      <c r="I40" s="96" t="e">
        <f t="shared" si="7"/>
        <v>#VALUE!</v>
      </c>
    </row>
    <row r="41" spans="2:9">
      <c r="B41" s="1" t="str">
        <f t="shared" si="5"/>
        <v/>
      </c>
      <c r="C41" s="64" t="str">
        <f t="shared" si="6"/>
        <v/>
      </c>
      <c r="D41" s="56" t="str">
        <f t="shared" si="0"/>
        <v/>
      </c>
      <c r="E41" s="56" t="str">
        <f t="shared" si="1"/>
        <v/>
      </c>
      <c r="F41" s="97" t="str">
        <f t="shared" si="2"/>
        <v/>
      </c>
      <c r="G41" s="93" t="str">
        <f t="shared" si="3"/>
        <v/>
      </c>
      <c r="H41" s="95">
        <f t="shared" si="4"/>
        <v>0</v>
      </c>
      <c r="I41" s="96" t="e">
        <f t="shared" si="7"/>
        <v>#VALUE!</v>
      </c>
    </row>
    <row r="42" spans="2:9">
      <c r="B42" s="1" t="str">
        <f t="shared" si="5"/>
        <v/>
      </c>
      <c r="C42" s="64" t="str">
        <f t="shared" si="6"/>
        <v/>
      </c>
      <c r="D42" s="56" t="str">
        <f t="shared" si="0"/>
        <v/>
      </c>
      <c r="E42" s="56" t="str">
        <f t="shared" si="1"/>
        <v/>
      </c>
      <c r="F42" s="97" t="str">
        <f t="shared" si="2"/>
        <v/>
      </c>
      <c r="G42" s="93" t="str">
        <f t="shared" si="3"/>
        <v/>
      </c>
      <c r="H42" s="95">
        <f t="shared" si="4"/>
        <v>0</v>
      </c>
      <c r="I42" s="96" t="e">
        <f t="shared" si="7"/>
        <v>#VALUE!</v>
      </c>
    </row>
    <row r="43" spans="2:9">
      <c r="B43" s="1" t="str">
        <f t="shared" si="5"/>
        <v/>
      </c>
      <c r="C43" s="64" t="str">
        <f t="shared" si="6"/>
        <v/>
      </c>
      <c r="D43" s="56" t="str">
        <f t="shared" si="0"/>
        <v/>
      </c>
      <c r="E43" s="56" t="str">
        <f t="shared" si="1"/>
        <v/>
      </c>
      <c r="F43" s="97" t="str">
        <f t="shared" si="2"/>
        <v/>
      </c>
      <c r="G43" s="93" t="str">
        <f t="shared" si="3"/>
        <v/>
      </c>
      <c r="H43" s="95">
        <f t="shared" si="4"/>
        <v>0</v>
      </c>
      <c r="I43" s="96" t="e">
        <f t="shared" si="7"/>
        <v>#VALUE!</v>
      </c>
    </row>
    <row r="44" spans="2:9">
      <c r="B44" s="1" t="str">
        <f t="shared" si="5"/>
        <v/>
      </c>
      <c r="C44" s="64" t="str">
        <f t="shared" si="6"/>
        <v/>
      </c>
      <c r="D44" s="56" t="str">
        <f t="shared" si="0"/>
        <v/>
      </c>
      <c r="E44" s="56" t="str">
        <f t="shared" si="1"/>
        <v/>
      </c>
      <c r="F44" s="97" t="str">
        <f t="shared" si="2"/>
        <v/>
      </c>
      <c r="G44" s="93" t="str">
        <f t="shared" si="3"/>
        <v/>
      </c>
      <c r="H44" s="95">
        <f t="shared" si="4"/>
        <v>0</v>
      </c>
      <c r="I44" s="96" t="e">
        <f t="shared" si="7"/>
        <v>#VALUE!</v>
      </c>
    </row>
    <row r="45" spans="2:9">
      <c r="B45" s="1" t="str">
        <f t="shared" si="5"/>
        <v/>
      </c>
      <c r="C45" s="64" t="str">
        <f t="shared" si="6"/>
        <v/>
      </c>
      <c r="D45" s="56" t="str">
        <f t="shared" si="0"/>
        <v/>
      </c>
      <c r="E45" s="56" t="str">
        <f t="shared" si="1"/>
        <v/>
      </c>
      <c r="F45" s="97" t="str">
        <f t="shared" si="2"/>
        <v/>
      </c>
      <c r="G45" s="93" t="str">
        <f t="shared" si="3"/>
        <v/>
      </c>
      <c r="H45" s="95">
        <f t="shared" si="4"/>
        <v>0</v>
      </c>
      <c r="I45" s="96" t="e">
        <f t="shared" si="7"/>
        <v>#VALUE!</v>
      </c>
    </row>
    <row r="46" spans="2:9">
      <c r="B46" s="1" t="str">
        <f t="shared" si="5"/>
        <v/>
      </c>
      <c r="C46" s="64" t="str">
        <f t="shared" si="6"/>
        <v/>
      </c>
      <c r="D46" s="56" t="str">
        <f t="shared" si="0"/>
        <v/>
      </c>
      <c r="E46" s="56" t="str">
        <f t="shared" si="1"/>
        <v/>
      </c>
      <c r="F46" s="97" t="str">
        <f t="shared" si="2"/>
        <v/>
      </c>
      <c r="G46" s="93" t="str">
        <f t="shared" si="3"/>
        <v/>
      </c>
      <c r="H46" s="95">
        <f t="shared" si="4"/>
        <v>0</v>
      </c>
      <c r="I46" s="96" t="e">
        <f t="shared" si="7"/>
        <v>#VALUE!</v>
      </c>
    </row>
    <row r="47" spans="2:9">
      <c r="B47" s="1" t="str">
        <f t="shared" si="5"/>
        <v/>
      </c>
      <c r="C47" s="64" t="str">
        <f t="shared" si="6"/>
        <v/>
      </c>
      <c r="D47" s="56" t="str">
        <f t="shared" si="0"/>
        <v/>
      </c>
      <c r="E47" s="56" t="str">
        <f t="shared" si="1"/>
        <v/>
      </c>
      <c r="F47" s="97" t="str">
        <f t="shared" si="2"/>
        <v/>
      </c>
      <c r="G47" s="93" t="str">
        <f t="shared" si="3"/>
        <v/>
      </c>
      <c r="H47" s="95">
        <f t="shared" si="4"/>
        <v>0</v>
      </c>
      <c r="I47" s="96" t="e">
        <f t="shared" si="7"/>
        <v>#VALUE!</v>
      </c>
    </row>
    <row r="48" spans="2:9">
      <c r="B48" s="1" t="str">
        <f t="shared" si="5"/>
        <v/>
      </c>
      <c r="C48" s="64" t="str">
        <f t="shared" si="6"/>
        <v/>
      </c>
      <c r="D48" s="56" t="str">
        <f t="shared" si="0"/>
        <v/>
      </c>
      <c r="E48" s="56" t="str">
        <f t="shared" si="1"/>
        <v/>
      </c>
      <c r="F48" s="97" t="str">
        <f t="shared" si="2"/>
        <v/>
      </c>
      <c r="G48" s="93" t="str">
        <f t="shared" si="3"/>
        <v/>
      </c>
      <c r="H48" s="95">
        <f t="shared" si="4"/>
        <v>0</v>
      </c>
      <c r="I48" s="96" t="e">
        <f t="shared" si="7"/>
        <v>#VALUE!</v>
      </c>
    </row>
    <row r="49" spans="2:9">
      <c r="B49" s="1" t="str">
        <f t="shared" si="5"/>
        <v/>
      </c>
      <c r="C49" s="64" t="str">
        <f t="shared" si="6"/>
        <v/>
      </c>
      <c r="D49" s="56" t="str">
        <f t="shared" si="0"/>
        <v/>
      </c>
      <c r="E49" s="56" t="str">
        <f t="shared" si="1"/>
        <v/>
      </c>
      <c r="F49" s="97" t="str">
        <f t="shared" si="2"/>
        <v/>
      </c>
      <c r="G49" s="93" t="str">
        <f t="shared" si="3"/>
        <v/>
      </c>
      <c r="H49" s="95">
        <f t="shared" si="4"/>
        <v>0</v>
      </c>
      <c r="I49" s="96" t="e">
        <f t="shared" si="7"/>
        <v>#VALUE!</v>
      </c>
    </row>
    <row r="50" spans="2:9">
      <c r="B50" s="1" t="str">
        <f t="shared" si="5"/>
        <v/>
      </c>
      <c r="C50" s="64" t="str">
        <f t="shared" si="6"/>
        <v/>
      </c>
      <c r="D50" s="56" t="str">
        <f t="shared" si="0"/>
        <v/>
      </c>
      <c r="E50" s="56" t="str">
        <f t="shared" si="1"/>
        <v/>
      </c>
      <c r="F50" s="97" t="str">
        <f t="shared" si="2"/>
        <v/>
      </c>
      <c r="G50" s="93" t="str">
        <f t="shared" si="3"/>
        <v/>
      </c>
      <c r="H50" s="95">
        <f t="shared" si="4"/>
        <v>0</v>
      </c>
      <c r="I50" s="96" t="e">
        <f t="shared" si="7"/>
        <v>#VALUE!</v>
      </c>
    </row>
    <row r="51" spans="2:9">
      <c r="B51" s="1" t="str">
        <f t="shared" si="5"/>
        <v/>
      </c>
      <c r="C51" s="64" t="str">
        <f t="shared" si="6"/>
        <v/>
      </c>
      <c r="D51" s="56" t="str">
        <f t="shared" si="0"/>
        <v/>
      </c>
      <c r="E51" s="56" t="str">
        <f t="shared" si="1"/>
        <v/>
      </c>
      <c r="F51" s="97" t="str">
        <f t="shared" si="2"/>
        <v/>
      </c>
      <c r="G51" s="93" t="str">
        <f t="shared" si="3"/>
        <v/>
      </c>
      <c r="H51" s="95">
        <f t="shared" si="4"/>
        <v>0</v>
      </c>
      <c r="I51" s="96" t="e">
        <f t="shared" si="7"/>
        <v>#VALUE!</v>
      </c>
    </row>
    <row r="52" spans="2:9">
      <c r="B52" s="1" t="str">
        <f t="shared" si="5"/>
        <v/>
      </c>
      <c r="C52" s="64" t="str">
        <f t="shared" si="6"/>
        <v/>
      </c>
      <c r="D52" s="56" t="str">
        <f t="shared" si="0"/>
        <v/>
      </c>
      <c r="E52" s="56" t="str">
        <f t="shared" si="1"/>
        <v/>
      </c>
      <c r="F52" s="97" t="str">
        <f t="shared" si="2"/>
        <v/>
      </c>
      <c r="G52" s="93" t="str">
        <f t="shared" si="3"/>
        <v/>
      </c>
      <c r="H52" s="95">
        <f t="shared" si="4"/>
        <v>0</v>
      </c>
      <c r="I52" s="96" t="e">
        <f t="shared" si="7"/>
        <v>#VALUE!</v>
      </c>
    </row>
    <row r="53" spans="2:9">
      <c r="B53" s="1" t="str">
        <f t="shared" si="5"/>
        <v/>
      </c>
      <c r="C53" s="64" t="str">
        <f t="shared" si="6"/>
        <v/>
      </c>
      <c r="D53" s="56" t="str">
        <f t="shared" si="0"/>
        <v/>
      </c>
      <c r="E53" s="56" t="str">
        <f t="shared" si="1"/>
        <v/>
      </c>
      <c r="F53" s="97" t="str">
        <f t="shared" si="2"/>
        <v/>
      </c>
      <c r="G53" s="93" t="str">
        <f t="shared" si="3"/>
        <v/>
      </c>
      <c r="H53" s="95">
        <f t="shared" si="4"/>
        <v>0</v>
      </c>
      <c r="I53" s="96" t="e">
        <f t="shared" si="7"/>
        <v>#VALUE!</v>
      </c>
    </row>
    <row r="54" spans="2:9">
      <c r="B54" s="1" t="str">
        <f t="shared" si="5"/>
        <v/>
      </c>
      <c r="C54" s="64" t="str">
        <f t="shared" si="6"/>
        <v/>
      </c>
      <c r="D54" s="56" t="str">
        <f t="shared" si="0"/>
        <v/>
      </c>
      <c r="E54" s="56" t="str">
        <f t="shared" si="1"/>
        <v/>
      </c>
      <c r="F54" s="97" t="str">
        <f t="shared" si="2"/>
        <v/>
      </c>
      <c r="G54" s="93" t="str">
        <f t="shared" si="3"/>
        <v/>
      </c>
      <c r="H54" s="95">
        <f t="shared" si="4"/>
        <v>0</v>
      </c>
      <c r="I54" s="96" t="e">
        <f t="shared" si="7"/>
        <v>#VALUE!</v>
      </c>
    </row>
    <row r="55" spans="2:9">
      <c r="B55" s="1" t="str">
        <f t="shared" si="5"/>
        <v/>
      </c>
      <c r="C55" s="64" t="str">
        <f t="shared" si="6"/>
        <v/>
      </c>
      <c r="D55" s="56" t="str">
        <f t="shared" si="0"/>
        <v/>
      </c>
      <c r="E55" s="56" t="str">
        <f t="shared" si="1"/>
        <v/>
      </c>
      <c r="F55" s="97" t="str">
        <f t="shared" si="2"/>
        <v/>
      </c>
      <c r="G55" s="93" t="str">
        <f t="shared" si="3"/>
        <v/>
      </c>
      <c r="H55" s="95">
        <f t="shared" si="4"/>
        <v>0</v>
      </c>
      <c r="I55" s="96" t="e">
        <f t="shared" si="7"/>
        <v>#VALUE!</v>
      </c>
    </row>
    <row r="56" spans="2:9">
      <c r="B56" s="1" t="str">
        <f t="shared" si="5"/>
        <v/>
      </c>
      <c r="C56" s="64" t="str">
        <f t="shared" si="6"/>
        <v/>
      </c>
      <c r="D56" s="56" t="str">
        <f t="shared" si="0"/>
        <v/>
      </c>
      <c r="E56" s="56" t="str">
        <f t="shared" si="1"/>
        <v/>
      </c>
      <c r="F56" s="97" t="str">
        <f t="shared" si="2"/>
        <v/>
      </c>
      <c r="G56" s="93" t="str">
        <f t="shared" si="3"/>
        <v/>
      </c>
      <c r="H56" s="95">
        <f t="shared" si="4"/>
        <v>0</v>
      </c>
      <c r="I56" s="96" t="e">
        <f t="shared" si="7"/>
        <v>#VALUE!</v>
      </c>
    </row>
    <row r="57" spans="2:9">
      <c r="B57" s="1" t="str">
        <f t="shared" si="5"/>
        <v/>
      </c>
      <c r="C57" s="64" t="str">
        <f t="shared" si="6"/>
        <v/>
      </c>
      <c r="D57" s="56" t="str">
        <f t="shared" si="0"/>
        <v/>
      </c>
      <c r="E57" s="56" t="str">
        <f t="shared" si="1"/>
        <v/>
      </c>
      <c r="F57" s="97" t="str">
        <f t="shared" si="2"/>
        <v/>
      </c>
      <c r="G57" s="93" t="str">
        <f t="shared" si="3"/>
        <v/>
      </c>
      <c r="H57" s="95">
        <f t="shared" si="4"/>
        <v>0</v>
      </c>
      <c r="I57" s="96" t="e">
        <f t="shared" si="7"/>
        <v>#VALUE!</v>
      </c>
    </row>
    <row r="58" spans="2:9">
      <c r="B58" s="1" t="str">
        <f t="shared" si="5"/>
        <v/>
      </c>
      <c r="C58" s="64" t="str">
        <f t="shared" si="6"/>
        <v/>
      </c>
      <c r="D58" s="56" t="str">
        <f t="shared" si="0"/>
        <v/>
      </c>
      <c r="E58" s="56" t="str">
        <f t="shared" si="1"/>
        <v/>
      </c>
      <c r="F58" s="97" t="str">
        <f t="shared" si="2"/>
        <v/>
      </c>
      <c r="G58" s="93" t="str">
        <f t="shared" si="3"/>
        <v/>
      </c>
      <c r="H58" s="95">
        <f t="shared" si="4"/>
        <v>0</v>
      </c>
      <c r="I58" s="96" t="e">
        <f t="shared" si="7"/>
        <v>#VALUE!</v>
      </c>
    </row>
    <row r="59" spans="2:9">
      <c r="B59" s="1" t="str">
        <f t="shared" si="5"/>
        <v/>
      </c>
      <c r="C59" s="64" t="str">
        <f t="shared" si="6"/>
        <v/>
      </c>
      <c r="D59" s="56" t="str">
        <f t="shared" si="0"/>
        <v/>
      </c>
      <c r="E59" s="56" t="str">
        <f t="shared" si="1"/>
        <v/>
      </c>
      <c r="F59" s="97" t="str">
        <f t="shared" si="2"/>
        <v/>
      </c>
      <c r="G59" s="93" t="str">
        <f t="shared" si="3"/>
        <v/>
      </c>
      <c r="H59" s="95">
        <f t="shared" si="4"/>
        <v>0</v>
      </c>
      <c r="I59" s="96" t="e">
        <f t="shared" si="7"/>
        <v>#VALUE!</v>
      </c>
    </row>
    <row r="60" spans="2:9">
      <c r="B60" s="1" t="str">
        <f t="shared" si="5"/>
        <v/>
      </c>
      <c r="C60" s="64" t="str">
        <f t="shared" si="6"/>
        <v/>
      </c>
      <c r="D60" s="56" t="str">
        <f t="shared" si="0"/>
        <v/>
      </c>
      <c r="E60" s="56" t="str">
        <f t="shared" si="1"/>
        <v/>
      </c>
      <c r="F60" s="97" t="str">
        <f t="shared" si="2"/>
        <v/>
      </c>
      <c r="G60" s="93" t="str">
        <f t="shared" si="3"/>
        <v/>
      </c>
      <c r="H60" s="95">
        <f t="shared" si="4"/>
        <v>0</v>
      </c>
      <c r="I60" s="96" t="e">
        <f t="shared" si="7"/>
        <v>#VALUE!</v>
      </c>
    </row>
    <row r="61" spans="2:9">
      <c r="B61" s="1" t="str">
        <f t="shared" si="5"/>
        <v/>
      </c>
      <c r="C61" s="64" t="str">
        <f t="shared" si="6"/>
        <v/>
      </c>
      <c r="D61" s="56" t="str">
        <f t="shared" si="0"/>
        <v/>
      </c>
      <c r="E61" s="56" t="str">
        <f t="shared" si="1"/>
        <v/>
      </c>
      <c r="F61" s="97" t="str">
        <f t="shared" si="2"/>
        <v/>
      </c>
      <c r="G61" s="93" t="str">
        <f t="shared" si="3"/>
        <v/>
      </c>
      <c r="H61" s="95">
        <f t="shared" si="4"/>
        <v>0</v>
      </c>
      <c r="I61" s="96" t="e">
        <f t="shared" si="7"/>
        <v>#VALUE!</v>
      </c>
    </row>
    <row r="62" spans="2:9">
      <c r="B62" s="1" t="str">
        <f t="shared" si="5"/>
        <v/>
      </c>
      <c r="C62" s="64" t="str">
        <f t="shared" si="6"/>
        <v/>
      </c>
      <c r="D62" s="56" t="str">
        <f t="shared" si="0"/>
        <v/>
      </c>
      <c r="E62" s="56" t="str">
        <f t="shared" si="1"/>
        <v/>
      </c>
      <c r="F62" s="97" t="str">
        <f t="shared" si="2"/>
        <v/>
      </c>
      <c r="G62" s="93" t="str">
        <f t="shared" si="3"/>
        <v/>
      </c>
      <c r="H62" s="95">
        <f t="shared" si="4"/>
        <v>0</v>
      </c>
      <c r="I62" s="96" t="e">
        <f t="shared" si="7"/>
        <v>#VALUE!</v>
      </c>
    </row>
    <row r="63" spans="2:9">
      <c r="B63" s="1" t="str">
        <f t="shared" si="5"/>
        <v/>
      </c>
      <c r="C63" s="64" t="str">
        <f t="shared" si="6"/>
        <v/>
      </c>
      <c r="D63" s="56" t="str">
        <f t="shared" si="0"/>
        <v/>
      </c>
      <c r="E63" s="56" t="str">
        <f t="shared" si="1"/>
        <v/>
      </c>
      <c r="F63" s="97" t="str">
        <f t="shared" si="2"/>
        <v/>
      </c>
      <c r="G63" s="93" t="str">
        <f t="shared" si="3"/>
        <v/>
      </c>
      <c r="H63" s="95">
        <f t="shared" si="4"/>
        <v>0</v>
      </c>
      <c r="I63" s="96" t="e">
        <f t="shared" si="7"/>
        <v>#VALUE!</v>
      </c>
    </row>
    <row r="64" spans="2:9">
      <c r="B64" s="1" t="str">
        <f t="shared" si="5"/>
        <v/>
      </c>
      <c r="C64" s="64" t="str">
        <f t="shared" si="6"/>
        <v/>
      </c>
      <c r="D64" s="56" t="str">
        <f t="shared" si="0"/>
        <v/>
      </c>
      <c r="E64" s="56" t="str">
        <f t="shared" si="1"/>
        <v/>
      </c>
      <c r="F64" s="97" t="str">
        <f t="shared" si="2"/>
        <v/>
      </c>
      <c r="G64" s="93" t="str">
        <f t="shared" si="3"/>
        <v/>
      </c>
      <c r="H64" s="95">
        <f t="shared" si="4"/>
        <v>0</v>
      </c>
      <c r="I64" s="96" t="e">
        <f t="shared" si="7"/>
        <v>#VALUE!</v>
      </c>
    </row>
    <row r="65" spans="2:9">
      <c r="B65" s="1" t="str">
        <f t="shared" si="5"/>
        <v/>
      </c>
      <c r="C65" s="64" t="str">
        <f t="shared" si="6"/>
        <v/>
      </c>
      <c r="D65" s="56" t="str">
        <f t="shared" si="0"/>
        <v/>
      </c>
      <c r="E65" s="56" t="str">
        <f t="shared" si="1"/>
        <v/>
      </c>
      <c r="F65" s="97" t="str">
        <f t="shared" si="2"/>
        <v/>
      </c>
      <c r="G65" s="93" t="str">
        <f t="shared" si="3"/>
        <v/>
      </c>
      <c r="H65" s="95">
        <f t="shared" si="4"/>
        <v>0</v>
      </c>
      <c r="I65" s="96" t="e">
        <f t="shared" si="7"/>
        <v>#VALUE!</v>
      </c>
    </row>
    <row r="66" spans="2:9">
      <c r="B66" s="1" t="str">
        <f t="shared" si="5"/>
        <v/>
      </c>
      <c r="C66" s="64" t="str">
        <f t="shared" si="6"/>
        <v/>
      </c>
      <c r="D66" s="56" t="str">
        <f t="shared" si="0"/>
        <v/>
      </c>
      <c r="E66" s="56" t="str">
        <f t="shared" si="1"/>
        <v/>
      </c>
      <c r="F66" s="97" t="str">
        <f t="shared" si="2"/>
        <v/>
      </c>
      <c r="G66" s="93" t="str">
        <f t="shared" si="3"/>
        <v/>
      </c>
      <c r="H66" s="95">
        <f t="shared" si="4"/>
        <v>0</v>
      </c>
      <c r="I66" s="96" t="e">
        <f t="shared" si="7"/>
        <v>#VALUE!</v>
      </c>
    </row>
    <row r="67" spans="2:9">
      <c r="B67" s="1" t="str">
        <f t="shared" si="5"/>
        <v/>
      </c>
      <c r="C67" s="64" t="str">
        <f t="shared" si="6"/>
        <v/>
      </c>
      <c r="D67" s="56" t="str">
        <f t="shared" si="0"/>
        <v/>
      </c>
      <c r="E67" s="56" t="str">
        <f t="shared" si="1"/>
        <v/>
      </c>
      <c r="F67" s="97" t="str">
        <f t="shared" si="2"/>
        <v/>
      </c>
      <c r="G67" s="93" t="str">
        <f t="shared" si="3"/>
        <v/>
      </c>
      <c r="H67" s="95">
        <f t="shared" si="4"/>
        <v>0</v>
      </c>
      <c r="I67" s="96" t="e">
        <f t="shared" si="7"/>
        <v>#VALUE!</v>
      </c>
    </row>
    <row r="68" spans="2:9">
      <c r="B68" s="1" t="str">
        <f t="shared" si="5"/>
        <v/>
      </c>
      <c r="C68" s="64" t="str">
        <f t="shared" si="6"/>
        <v/>
      </c>
      <c r="D68" s="56" t="str">
        <f t="shared" si="0"/>
        <v/>
      </c>
      <c r="E68" s="56" t="str">
        <f t="shared" si="1"/>
        <v/>
      </c>
      <c r="F68" s="97" t="str">
        <f t="shared" si="2"/>
        <v/>
      </c>
      <c r="G68" s="93" t="str">
        <f t="shared" si="3"/>
        <v/>
      </c>
      <c r="H68" s="95">
        <f t="shared" si="4"/>
        <v>0</v>
      </c>
      <c r="I68" s="96" t="e">
        <f t="shared" si="7"/>
        <v>#VALUE!</v>
      </c>
    </row>
    <row r="69" spans="2:9">
      <c r="B69" s="1" t="str">
        <f t="shared" si="5"/>
        <v/>
      </c>
      <c r="C69" s="64" t="str">
        <f t="shared" si="6"/>
        <v/>
      </c>
      <c r="D69" s="56" t="str">
        <f t="shared" si="0"/>
        <v/>
      </c>
      <c r="E69" s="56" t="str">
        <f t="shared" si="1"/>
        <v/>
      </c>
      <c r="F69" s="97" t="str">
        <f t="shared" si="2"/>
        <v/>
      </c>
      <c r="G69" s="93" t="str">
        <f t="shared" si="3"/>
        <v/>
      </c>
      <c r="H69" s="95">
        <f t="shared" si="4"/>
        <v>0</v>
      </c>
      <c r="I69" s="96" t="e">
        <f t="shared" si="7"/>
        <v>#VALUE!</v>
      </c>
    </row>
    <row r="70" spans="2:9">
      <c r="B70" s="1" t="str">
        <f t="shared" si="5"/>
        <v/>
      </c>
      <c r="C70" s="64" t="str">
        <f t="shared" si="6"/>
        <v/>
      </c>
      <c r="D70" s="56" t="str">
        <f t="shared" si="0"/>
        <v/>
      </c>
      <c r="E70" s="56" t="str">
        <f t="shared" si="1"/>
        <v/>
      </c>
      <c r="F70" s="97" t="str">
        <f t="shared" si="2"/>
        <v/>
      </c>
      <c r="G70" s="93" t="str">
        <f t="shared" si="3"/>
        <v/>
      </c>
      <c r="H70" s="95">
        <f t="shared" si="4"/>
        <v>0</v>
      </c>
      <c r="I70" s="96" t="e">
        <f t="shared" si="7"/>
        <v>#VALUE!</v>
      </c>
    </row>
    <row r="71" spans="2:9">
      <c r="B71" s="1" t="str">
        <f t="shared" si="5"/>
        <v/>
      </c>
      <c r="C71" s="64" t="str">
        <f t="shared" si="6"/>
        <v/>
      </c>
      <c r="D71" s="56" t="str">
        <f t="shared" si="0"/>
        <v/>
      </c>
      <c r="E71" s="56" t="str">
        <f t="shared" si="1"/>
        <v/>
      </c>
      <c r="F71" s="97" t="str">
        <f t="shared" si="2"/>
        <v/>
      </c>
      <c r="G71" s="93" t="str">
        <f t="shared" si="3"/>
        <v/>
      </c>
      <c r="H71" s="95">
        <f t="shared" si="4"/>
        <v>0</v>
      </c>
      <c r="I71" s="96" t="e">
        <f t="shared" si="7"/>
        <v>#VALUE!</v>
      </c>
    </row>
    <row r="72" spans="2:9">
      <c r="B72" s="1" t="str">
        <f t="shared" si="5"/>
        <v/>
      </c>
      <c r="C72" s="64" t="str">
        <f t="shared" si="6"/>
        <v/>
      </c>
      <c r="D72" s="56" t="str">
        <f t="shared" si="0"/>
        <v/>
      </c>
      <c r="E72" s="56" t="str">
        <f t="shared" si="1"/>
        <v/>
      </c>
      <c r="F72" s="97" t="str">
        <f t="shared" si="2"/>
        <v/>
      </c>
      <c r="G72" s="93" t="str">
        <f t="shared" si="3"/>
        <v/>
      </c>
      <c r="H72" s="95">
        <f t="shared" si="4"/>
        <v>0</v>
      </c>
      <c r="I72" s="96" t="e">
        <f t="shared" si="7"/>
        <v>#VALUE!</v>
      </c>
    </row>
    <row r="73" spans="2:9">
      <c r="B73" s="1" t="str">
        <f t="shared" si="5"/>
        <v/>
      </c>
      <c r="C73" s="64" t="str">
        <f t="shared" si="6"/>
        <v/>
      </c>
      <c r="D73" s="56" t="str">
        <f t="shared" si="0"/>
        <v/>
      </c>
      <c r="E73" s="56" t="str">
        <f t="shared" si="1"/>
        <v/>
      </c>
      <c r="F73" s="97" t="str">
        <f t="shared" si="2"/>
        <v/>
      </c>
      <c r="G73" s="93" t="str">
        <f t="shared" si="3"/>
        <v/>
      </c>
      <c r="H73" s="95">
        <f t="shared" si="4"/>
        <v>0</v>
      </c>
      <c r="I73" s="96" t="e">
        <f t="shared" si="7"/>
        <v>#VALUE!</v>
      </c>
    </row>
    <row r="74" spans="2:9">
      <c r="B74" s="1" t="str">
        <f t="shared" si="5"/>
        <v/>
      </c>
      <c r="C74" s="64" t="str">
        <f t="shared" si="6"/>
        <v/>
      </c>
      <c r="D74" s="56" t="str">
        <f t="shared" si="0"/>
        <v/>
      </c>
      <c r="E74" s="56" t="str">
        <f t="shared" si="1"/>
        <v/>
      </c>
      <c r="F74" s="97" t="str">
        <f t="shared" si="2"/>
        <v/>
      </c>
      <c r="G74" s="93" t="str">
        <f t="shared" si="3"/>
        <v/>
      </c>
      <c r="H74" s="95">
        <f t="shared" si="4"/>
        <v>0</v>
      </c>
      <c r="I74" s="96" t="e">
        <f t="shared" si="7"/>
        <v>#VALUE!</v>
      </c>
    </row>
    <row r="75" spans="2:9">
      <c r="B75" s="1" t="str">
        <f t="shared" si="5"/>
        <v/>
      </c>
      <c r="C75" s="64" t="str">
        <f t="shared" si="6"/>
        <v/>
      </c>
      <c r="D75" s="56" t="str">
        <f t="shared" si="0"/>
        <v/>
      </c>
      <c r="E75" s="56" t="str">
        <f t="shared" si="1"/>
        <v/>
      </c>
      <c r="F75" s="97" t="str">
        <f t="shared" si="2"/>
        <v/>
      </c>
      <c r="G75" s="93" t="str">
        <f t="shared" si="3"/>
        <v/>
      </c>
      <c r="H75" s="95">
        <f t="shared" si="4"/>
        <v>0</v>
      </c>
      <c r="I75" s="96" t="e">
        <f t="shared" si="7"/>
        <v>#VALUE!</v>
      </c>
    </row>
    <row r="76" spans="2:9">
      <c r="B76" s="1" t="str">
        <f t="shared" si="5"/>
        <v/>
      </c>
      <c r="C76" s="64" t="str">
        <f t="shared" si="6"/>
        <v/>
      </c>
      <c r="D76" s="56" t="str">
        <f t="shared" si="0"/>
        <v/>
      </c>
      <c r="E76" s="56" t="str">
        <f t="shared" si="1"/>
        <v/>
      </c>
      <c r="F76" s="97" t="str">
        <f t="shared" si="2"/>
        <v/>
      </c>
      <c r="G76" s="93" t="str">
        <f t="shared" si="3"/>
        <v/>
      </c>
      <c r="H76" s="95">
        <f t="shared" si="4"/>
        <v>0</v>
      </c>
      <c r="I76" s="96" t="e">
        <f t="shared" si="7"/>
        <v>#VALUE!</v>
      </c>
    </row>
    <row r="77" spans="2:9">
      <c r="B77" s="1" t="str">
        <f t="shared" si="5"/>
        <v/>
      </c>
      <c r="C77" s="64" t="str">
        <f t="shared" si="6"/>
        <v/>
      </c>
      <c r="D77" s="56" t="str">
        <f t="shared" si="0"/>
        <v/>
      </c>
      <c r="E77" s="56" t="str">
        <f t="shared" si="1"/>
        <v/>
      </c>
      <c r="F77" s="97" t="str">
        <f t="shared" si="2"/>
        <v/>
      </c>
      <c r="G77" s="93" t="str">
        <f t="shared" si="3"/>
        <v/>
      </c>
      <c r="H77" s="95">
        <f t="shared" si="4"/>
        <v>0</v>
      </c>
      <c r="I77" s="96" t="e">
        <f t="shared" si="7"/>
        <v>#VALUE!</v>
      </c>
    </row>
    <row r="78" spans="2:9">
      <c r="B78" s="1" t="str">
        <f t="shared" si="5"/>
        <v/>
      </c>
      <c r="C78" s="64" t="str">
        <f t="shared" si="6"/>
        <v/>
      </c>
      <c r="D78" s="56" t="str">
        <f t="shared" si="0"/>
        <v/>
      </c>
      <c r="E78" s="56" t="str">
        <f t="shared" si="1"/>
        <v/>
      </c>
      <c r="F78" s="97" t="str">
        <f t="shared" si="2"/>
        <v/>
      </c>
      <c r="G78" s="93" t="str">
        <f t="shared" si="3"/>
        <v/>
      </c>
      <c r="H78" s="95">
        <f t="shared" si="4"/>
        <v>0</v>
      </c>
      <c r="I78" s="96" t="str">
        <f>IF(F78="","",H78-F78)</f>
        <v/>
      </c>
    </row>
    <row r="79" spans="2:9">
      <c r="B79" s="1" t="str">
        <f t="shared" si="5"/>
        <v/>
      </c>
      <c r="C79" s="64" t="str">
        <f t="shared" si="6"/>
        <v/>
      </c>
      <c r="D79" s="56" t="str">
        <f t="shared" si="0"/>
        <v/>
      </c>
      <c r="E79" s="56" t="str">
        <f t="shared" si="1"/>
        <v/>
      </c>
      <c r="F79" s="97" t="str">
        <f t="shared" si="2"/>
        <v/>
      </c>
      <c r="G79" s="93" t="str">
        <f t="shared" si="3"/>
        <v/>
      </c>
      <c r="H79" s="95">
        <f t="shared" si="4"/>
        <v>0</v>
      </c>
      <c r="I79" s="96" t="str">
        <f t="shared" ref="I79:I137" si="8">IF(F79="","",H79-F79)</f>
        <v/>
      </c>
    </row>
    <row r="80" spans="2:9">
      <c r="B80" s="1" t="str">
        <f t="shared" si="5"/>
        <v/>
      </c>
      <c r="C80" s="64" t="str">
        <f t="shared" si="6"/>
        <v/>
      </c>
      <c r="D80" s="56" t="str">
        <f t="shared" si="0"/>
        <v/>
      </c>
      <c r="E80" s="56" t="str">
        <f t="shared" si="1"/>
        <v/>
      </c>
      <c r="F80" s="97" t="str">
        <f t="shared" si="2"/>
        <v/>
      </c>
      <c r="G80" s="93" t="str">
        <f t="shared" si="3"/>
        <v/>
      </c>
      <c r="H80" s="95">
        <f t="shared" si="4"/>
        <v>0</v>
      </c>
      <c r="I80" s="96" t="str">
        <f t="shared" si="8"/>
        <v/>
      </c>
    </row>
    <row r="81" spans="2:9">
      <c r="B81" s="1" t="str">
        <f t="shared" si="5"/>
        <v/>
      </c>
      <c r="C81" s="64" t="str">
        <f t="shared" si="6"/>
        <v/>
      </c>
      <c r="D81" s="56" t="str">
        <f t="shared" si="0"/>
        <v/>
      </c>
      <c r="E81" s="56" t="str">
        <f t="shared" si="1"/>
        <v/>
      </c>
      <c r="F81" s="97" t="str">
        <f t="shared" si="2"/>
        <v/>
      </c>
      <c r="G81" s="93" t="str">
        <f t="shared" si="3"/>
        <v/>
      </c>
      <c r="H81" s="95">
        <f t="shared" si="4"/>
        <v>0</v>
      </c>
      <c r="I81" s="96" t="str">
        <f t="shared" si="8"/>
        <v/>
      </c>
    </row>
    <row r="82" spans="2:9">
      <c r="B82" s="1" t="str">
        <f t="shared" si="5"/>
        <v/>
      </c>
      <c r="C82" s="64" t="str">
        <f t="shared" si="6"/>
        <v/>
      </c>
      <c r="D82" s="56" t="str">
        <f t="shared" ref="D82:D137" si="9">IF(B82&lt;=$E$11,-CUMIPMT($E$13/$E$10,$E$9*$E$10-$E$11,$E$8,1,1,0),IF($E$9*$E$10&gt;=B82,-CUMIPMT($E$13/$E$10,$E$9*$E$10-$E$11,$E$8,B82-$E$11,B82-$E$11,0),""))</f>
        <v/>
      </c>
      <c r="E82" s="56" t="str">
        <f t="shared" ref="E82:E137" si="10">IF(B82&lt;=$E$11,0,IF($E$9*$E$10&gt;=B82,-CUMPRINC($E$13/$E$10,$E$9*$E$10-$E$11,$E$8,B82-$E$11,B82-$E$11,0),""))</f>
        <v/>
      </c>
      <c r="F82" s="97" t="str">
        <f t="shared" ref="F82:F137" si="11">IF(OR(D82="",E82=""),"",D82+E82)</f>
        <v/>
      </c>
      <c r="G82" s="93" t="str">
        <f t="shared" ref="G82:G137" si="12">IF($E$9*$E$10&gt;=B82,G81-E82,"")</f>
        <v/>
      </c>
      <c r="H82" s="95">
        <f t="shared" ref="H82:H137" si="13">IF(B82=0,G82*E72,0)</f>
        <v>0</v>
      </c>
      <c r="I82" s="96" t="str">
        <f t="shared" si="8"/>
        <v/>
      </c>
    </row>
    <row r="83" spans="2:9">
      <c r="B83" s="1" t="str">
        <f t="shared" ref="B83:B137" si="14">IFERROR(IF(B82+1&lt;=$E$9*$E$10,B82+1,""),"")</f>
        <v/>
      </c>
      <c r="C83" s="64" t="str">
        <f t="shared" ref="C83:C137" si="15">IF(B83="","",EDATE(C$17,B83))</f>
        <v/>
      </c>
      <c r="D83" s="56" t="str">
        <f t="shared" si="9"/>
        <v/>
      </c>
      <c r="E83" s="56" t="str">
        <f t="shared" si="10"/>
        <v/>
      </c>
      <c r="F83" s="97" t="str">
        <f t="shared" si="11"/>
        <v/>
      </c>
      <c r="G83" s="93" t="str">
        <f t="shared" si="12"/>
        <v/>
      </c>
      <c r="H83" s="95">
        <f t="shared" si="13"/>
        <v>0</v>
      </c>
      <c r="I83" s="96" t="str">
        <f t="shared" si="8"/>
        <v/>
      </c>
    </row>
    <row r="84" spans="2:9">
      <c r="B84" s="1" t="str">
        <f t="shared" si="14"/>
        <v/>
      </c>
      <c r="C84" s="64" t="str">
        <f t="shared" si="15"/>
        <v/>
      </c>
      <c r="D84" s="56" t="str">
        <f t="shared" si="9"/>
        <v/>
      </c>
      <c r="E84" s="56" t="str">
        <f t="shared" si="10"/>
        <v/>
      </c>
      <c r="F84" s="97" t="str">
        <f t="shared" si="11"/>
        <v/>
      </c>
      <c r="G84" s="93" t="str">
        <f t="shared" si="12"/>
        <v/>
      </c>
      <c r="H84" s="95">
        <f t="shared" si="13"/>
        <v>0</v>
      </c>
      <c r="I84" s="96" t="str">
        <f t="shared" si="8"/>
        <v/>
      </c>
    </row>
    <row r="85" spans="2:9">
      <c r="B85" s="1" t="str">
        <f t="shared" si="14"/>
        <v/>
      </c>
      <c r="C85" s="64" t="str">
        <f t="shared" si="15"/>
        <v/>
      </c>
      <c r="D85" s="56" t="str">
        <f t="shared" si="9"/>
        <v/>
      </c>
      <c r="E85" s="56" t="str">
        <f t="shared" si="10"/>
        <v/>
      </c>
      <c r="F85" s="97" t="str">
        <f t="shared" si="11"/>
        <v/>
      </c>
      <c r="G85" s="93" t="str">
        <f t="shared" si="12"/>
        <v/>
      </c>
      <c r="H85" s="95">
        <f t="shared" si="13"/>
        <v>0</v>
      </c>
      <c r="I85" s="96" t="str">
        <f t="shared" si="8"/>
        <v/>
      </c>
    </row>
    <row r="86" spans="2:9">
      <c r="B86" s="1" t="str">
        <f t="shared" si="14"/>
        <v/>
      </c>
      <c r="C86" s="64" t="str">
        <f t="shared" si="15"/>
        <v/>
      </c>
      <c r="D86" s="56" t="str">
        <f t="shared" si="9"/>
        <v/>
      </c>
      <c r="E86" s="56" t="str">
        <f t="shared" si="10"/>
        <v/>
      </c>
      <c r="F86" s="97" t="str">
        <f t="shared" si="11"/>
        <v/>
      </c>
      <c r="G86" s="93" t="str">
        <f t="shared" si="12"/>
        <v/>
      </c>
      <c r="H86" s="95">
        <f t="shared" si="13"/>
        <v>0</v>
      </c>
      <c r="I86" s="96" t="str">
        <f t="shared" si="8"/>
        <v/>
      </c>
    </row>
    <row r="87" spans="2:9">
      <c r="B87" s="1" t="str">
        <f t="shared" si="14"/>
        <v/>
      </c>
      <c r="C87" s="64" t="str">
        <f t="shared" si="15"/>
        <v/>
      </c>
      <c r="D87" s="56" t="str">
        <f t="shared" si="9"/>
        <v/>
      </c>
      <c r="E87" s="56" t="str">
        <f t="shared" si="10"/>
        <v/>
      </c>
      <c r="F87" s="97" t="str">
        <f t="shared" si="11"/>
        <v/>
      </c>
      <c r="G87" s="93" t="str">
        <f t="shared" si="12"/>
        <v/>
      </c>
      <c r="H87" s="95">
        <f t="shared" si="13"/>
        <v>0</v>
      </c>
      <c r="I87" s="96" t="str">
        <f t="shared" si="8"/>
        <v/>
      </c>
    </row>
    <row r="88" spans="2:9">
      <c r="B88" s="1" t="str">
        <f t="shared" si="14"/>
        <v/>
      </c>
      <c r="C88" s="64" t="str">
        <f t="shared" si="15"/>
        <v/>
      </c>
      <c r="D88" s="56" t="str">
        <f t="shared" si="9"/>
        <v/>
      </c>
      <c r="E88" s="56" t="str">
        <f t="shared" si="10"/>
        <v/>
      </c>
      <c r="F88" s="97" t="str">
        <f t="shared" si="11"/>
        <v/>
      </c>
      <c r="G88" s="93" t="str">
        <f t="shared" si="12"/>
        <v/>
      </c>
      <c r="H88" s="95">
        <f t="shared" si="13"/>
        <v>0</v>
      </c>
      <c r="I88" s="96" t="str">
        <f t="shared" si="8"/>
        <v/>
      </c>
    </row>
    <row r="89" spans="2:9">
      <c r="B89" s="1" t="str">
        <f t="shared" si="14"/>
        <v/>
      </c>
      <c r="C89" s="64" t="str">
        <f t="shared" si="15"/>
        <v/>
      </c>
      <c r="D89" s="56" t="str">
        <f t="shared" si="9"/>
        <v/>
      </c>
      <c r="E89" s="56" t="str">
        <f t="shared" si="10"/>
        <v/>
      </c>
      <c r="F89" s="97" t="str">
        <f t="shared" si="11"/>
        <v/>
      </c>
      <c r="G89" s="93" t="str">
        <f t="shared" si="12"/>
        <v/>
      </c>
      <c r="H89" s="95">
        <f t="shared" si="13"/>
        <v>0</v>
      </c>
      <c r="I89" s="96" t="str">
        <f t="shared" si="8"/>
        <v/>
      </c>
    </row>
    <row r="90" spans="2:9">
      <c r="B90" s="1" t="str">
        <f t="shared" si="14"/>
        <v/>
      </c>
      <c r="C90" s="64" t="str">
        <f t="shared" si="15"/>
        <v/>
      </c>
      <c r="D90" s="56" t="str">
        <f t="shared" si="9"/>
        <v/>
      </c>
      <c r="E90" s="56" t="str">
        <f t="shared" si="10"/>
        <v/>
      </c>
      <c r="F90" s="97" t="str">
        <f t="shared" si="11"/>
        <v/>
      </c>
      <c r="G90" s="93" t="str">
        <f t="shared" si="12"/>
        <v/>
      </c>
      <c r="H90" s="95">
        <f t="shared" si="13"/>
        <v>0</v>
      </c>
      <c r="I90" s="96" t="str">
        <f t="shared" si="8"/>
        <v/>
      </c>
    </row>
    <row r="91" spans="2:9">
      <c r="B91" s="1" t="str">
        <f t="shared" si="14"/>
        <v/>
      </c>
      <c r="C91" s="64" t="str">
        <f t="shared" si="15"/>
        <v/>
      </c>
      <c r="D91" s="56" t="str">
        <f t="shared" si="9"/>
        <v/>
      </c>
      <c r="E91" s="56" t="str">
        <f t="shared" si="10"/>
        <v/>
      </c>
      <c r="F91" s="97" t="str">
        <f t="shared" si="11"/>
        <v/>
      </c>
      <c r="G91" s="93" t="str">
        <f t="shared" si="12"/>
        <v/>
      </c>
      <c r="H91" s="95">
        <f t="shared" si="13"/>
        <v>0</v>
      </c>
      <c r="I91" s="96" t="str">
        <f t="shared" si="8"/>
        <v/>
      </c>
    </row>
    <row r="92" spans="2:9">
      <c r="B92" s="1" t="str">
        <f t="shared" si="14"/>
        <v/>
      </c>
      <c r="C92" s="64" t="str">
        <f t="shared" si="15"/>
        <v/>
      </c>
      <c r="D92" s="56" t="str">
        <f t="shared" si="9"/>
        <v/>
      </c>
      <c r="E92" s="56" t="str">
        <f t="shared" si="10"/>
        <v/>
      </c>
      <c r="F92" s="97" t="str">
        <f t="shared" si="11"/>
        <v/>
      </c>
      <c r="G92" s="93" t="str">
        <f t="shared" si="12"/>
        <v/>
      </c>
      <c r="H92" s="95">
        <f t="shared" si="13"/>
        <v>0</v>
      </c>
      <c r="I92" s="96" t="str">
        <f t="shared" si="8"/>
        <v/>
      </c>
    </row>
    <row r="93" spans="2:9">
      <c r="B93" s="1" t="str">
        <f t="shared" si="14"/>
        <v/>
      </c>
      <c r="C93" s="64" t="str">
        <f t="shared" si="15"/>
        <v/>
      </c>
      <c r="D93" s="56" t="str">
        <f t="shared" si="9"/>
        <v/>
      </c>
      <c r="E93" s="56" t="str">
        <f t="shared" si="10"/>
        <v/>
      </c>
      <c r="F93" s="97" t="str">
        <f t="shared" si="11"/>
        <v/>
      </c>
      <c r="G93" s="93" t="str">
        <f t="shared" si="12"/>
        <v/>
      </c>
      <c r="H93" s="95">
        <f t="shared" si="13"/>
        <v>0</v>
      </c>
      <c r="I93" s="96" t="str">
        <f t="shared" si="8"/>
        <v/>
      </c>
    </row>
    <row r="94" spans="2:9">
      <c r="B94" s="1" t="str">
        <f t="shared" si="14"/>
        <v/>
      </c>
      <c r="C94" s="64" t="str">
        <f t="shared" si="15"/>
        <v/>
      </c>
      <c r="D94" s="56" t="str">
        <f t="shared" si="9"/>
        <v/>
      </c>
      <c r="E94" s="56" t="str">
        <f t="shared" si="10"/>
        <v/>
      </c>
      <c r="F94" s="97" t="str">
        <f t="shared" si="11"/>
        <v/>
      </c>
      <c r="G94" s="93" t="str">
        <f t="shared" si="12"/>
        <v/>
      </c>
      <c r="H94" s="95">
        <f t="shared" si="13"/>
        <v>0</v>
      </c>
      <c r="I94" s="96" t="str">
        <f t="shared" si="8"/>
        <v/>
      </c>
    </row>
    <row r="95" spans="2:9">
      <c r="B95" s="1" t="str">
        <f t="shared" si="14"/>
        <v/>
      </c>
      <c r="C95" s="64" t="str">
        <f t="shared" si="15"/>
        <v/>
      </c>
      <c r="D95" s="56" t="str">
        <f t="shared" si="9"/>
        <v/>
      </c>
      <c r="E95" s="56" t="str">
        <f t="shared" si="10"/>
        <v/>
      </c>
      <c r="F95" s="97" t="str">
        <f t="shared" si="11"/>
        <v/>
      </c>
      <c r="G95" s="93" t="str">
        <f t="shared" si="12"/>
        <v/>
      </c>
      <c r="H95" s="95">
        <f t="shared" si="13"/>
        <v>0</v>
      </c>
      <c r="I95" s="96" t="str">
        <f t="shared" si="8"/>
        <v/>
      </c>
    </row>
    <row r="96" spans="2:9">
      <c r="B96" s="1" t="str">
        <f t="shared" si="14"/>
        <v/>
      </c>
      <c r="C96" s="64" t="str">
        <f t="shared" si="15"/>
        <v/>
      </c>
      <c r="D96" s="56" t="str">
        <f t="shared" si="9"/>
        <v/>
      </c>
      <c r="E96" s="56" t="str">
        <f t="shared" si="10"/>
        <v/>
      </c>
      <c r="F96" s="97" t="str">
        <f t="shared" si="11"/>
        <v/>
      </c>
      <c r="G96" s="93" t="str">
        <f t="shared" si="12"/>
        <v/>
      </c>
      <c r="H96" s="95">
        <f t="shared" si="13"/>
        <v>0</v>
      </c>
      <c r="I96" s="96" t="str">
        <f t="shared" si="8"/>
        <v/>
      </c>
    </row>
    <row r="97" spans="2:9">
      <c r="B97" s="1" t="str">
        <f t="shared" si="14"/>
        <v/>
      </c>
      <c r="C97" s="64" t="str">
        <f t="shared" si="15"/>
        <v/>
      </c>
      <c r="D97" s="56" t="str">
        <f t="shared" si="9"/>
        <v/>
      </c>
      <c r="E97" s="56" t="str">
        <f t="shared" si="10"/>
        <v/>
      </c>
      <c r="F97" s="97" t="str">
        <f t="shared" si="11"/>
        <v/>
      </c>
      <c r="G97" s="93" t="str">
        <f t="shared" si="12"/>
        <v/>
      </c>
      <c r="H97" s="95">
        <f t="shared" si="13"/>
        <v>0</v>
      </c>
      <c r="I97" s="96" t="str">
        <f t="shared" si="8"/>
        <v/>
      </c>
    </row>
    <row r="98" spans="2:9">
      <c r="B98" s="1" t="str">
        <f t="shared" si="14"/>
        <v/>
      </c>
      <c r="C98" s="64" t="str">
        <f t="shared" si="15"/>
        <v/>
      </c>
      <c r="D98" s="56" t="str">
        <f t="shared" si="9"/>
        <v/>
      </c>
      <c r="E98" s="56" t="str">
        <f t="shared" si="10"/>
        <v/>
      </c>
      <c r="F98" s="97" t="str">
        <f t="shared" si="11"/>
        <v/>
      </c>
      <c r="G98" s="93" t="str">
        <f t="shared" si="12"/>
        <v/>
      </c>
      <c r="H98" s="95">
        <f t="shared" si="13"/>
        <v>0</v>
      </c>
      <c r="I98" s="96" t="str">
        <f t="shared" si="8"/>
        <v/>
      </c>
    </row>
    <row r="99" spans="2:9">
      <c r="B99" s="1" t="str">
        <f t="shared" si="14"/>
        <v/>
      </c>
      <c r="C99" s="64" t="str">
        <f t="shared" si="15"/>
        <v/>
      </c>
      <c r="D99" s="56" t="str">
        <f t="shared" si="9"/>
        <v/>
      </c>
      <c r="E99" s="56" t="str">
        <f t="shared" si="10"/>
        <v/>
      </c>
      <c r="F99" s="97" t="str">
        <f t="shared" si="11"/>
        <v/>
      </c>
      <c r="G99" s="93" t="str">
        <f t="shared" si="12"/>
        <v/>
      </c>
      <c r="H99" s="95">
        <f t="shared" si="13"/>
        <v>0</v>
      </c>
      <c r="I99" s="96" t="str">
        <f t="shared" si="8"/>
        <v/>
      </c>
    </row>
    <row r="100" spans="2:9">
      <c r="B100" s="1" t="str">
        <f t="shared" si="14"/>
        <v/>
      </c>
      <c r="C100" s="64" t="str">
        <f t="shared" si="15"/>
        <v/>
      </c>
      <c r="D100" s="56" t="str">
        <f t="shared" si="9"/>
        <v/>
      </c>
      <c r="E100" s="56" t="str">
        <f t="shared" si="10"/>
        <v/>
      </c>
      <c r="F100" s="97" t="str">
        <f t="shared" si="11"/>
        <v/>
      </c>
      <c r="G100" s="93" t="str">
        <f t="shared" si="12"/>
        <v/>
      </c>
      <c r="H100" s="95">
        <f t="shared" si="13"/>
        <v>0</v>
      </c>
      <c r="I100" s="96" t="str">
        <f t="shared" si="8"/>
        <v/>
      </c>
    </row>
    <row r="101" spans="2:9">
      <c r="B101" s="1" t="str">
        <f t="shared" si="14"/>
        <v/>
      </c>
      <c r="C101" s="64" t="str">
        <f t="shared" si="15"/>
        <v/>
      </c>
      <c r="D101" s="56" t="str">
        <f t="shared" si="9"/>
        <v/>
      </c>
      <c r="E101" s="56" t="str">
        <f t="shared" si="10"/>
        <v/>
      </c>
      <c r="F101" s="97" t="str">
        <f t="shared" si="11"/>
        <v/>
      </c>
      <c r="G101" s="93" t="str">
        <f t="shared" si="12"/>
        <v/>
      </c>
      <c r="H101" s="95">
        <f t="shared" si="13"/>
        <v>0</v>
      </c>
      <c r="I101" s="96" t="str">
        <f t="shared" si="8"/>
        <v/>
      </c>
    </row>
    <row r="102" spans="2:9">
      <c r="B102" s="1" t="str">
        <f t="shared" si="14"/>
        <v/>
      </c>
      <c r="C102" s="64" t="str">
        <f t="shared" si="15"/>
        <v/>
      </c>
      <c r="D102" s="56" t="str">
        <f t="shared" si="9"/>
        <v/>
      </c>
      <c r="E102" s="56" t="str">
        <f t="shared" si="10"/>
        <v/>
      </c>
      <c r="F102" s="97" t="str">
        <f t="shared" si="11"/>
        <v/>
      </c>
      <c r="G102" s="93" t="str">
        <f t="shared" si="12"/>
        <v/>
      </c>
      <c r="H102" s="95">
        <f t="shared" si="13"/>
        <v>0</v>
      </c>
      <c r="I102" s="96" t="str">
        <f t="shared" si="8"/>
        <v/>
      </c>
    </row>
    <row r="103" spans="2:9">
      <c r="B103" s="1" t="str">
        <f t="shared" si="14"/>
        <v/>
      </c>
      <c r="C103" s="64" t="str">
        <f t="shared" si="15"/>
        <v/>
      </c>
      <c r="D103" s="56" t="str">
        <f t="shared" si="9"/>
        <v/>
      </c>
      <c r="E103" s="56" t="str">
        <f t="shared" si="10"/>
        <v/>
      </c>
      <c r="F103" s="97" t="str">
        <f t="shared" si="11"/>
        <v/>
      </c>
      <c r="G103" s="93" t="str">
        <f t="shared" si="12"/>
        <v/>
      </c>
      <c r="H103" s="95">
        <f t="shared" si="13"/>
        <v>0</v>
      </c>
      <c r="I103" s="96" t="str">
        <f t="shared" si="8"/>
        <v/>
      </c>
    </row>
    <row r="104" spans="2:9">
      <c r="B104" s="1" t="str">
        <f t="shared" si="14"/>
        <v/>
      </c>
      <c r="C104" s="64" t="str">
        <f t="shared" si="15"/>
        <v/>
      </c>
      <c r="D104" s="56" t="str">
        <f t="shared" si="9"/>
        <v/>
      </c>
      <c r="E104" s="56" t="str">
        <f t="shared" si="10"/>
        <v/>
      </c>
      <c r="F104" s="97" t="str">
        <f t="shared" si="11"/>
        <v/>
      </c>
      <c r="G104" s="93" t="str">
        <f t="shared" si="12"/>
        <v/>
      </c>
      <c r="H104" s="95">
        <f t="shared" si="13"/>
        <v>0</v>
      </c>
      <c r="I104" s="96" t="str">
        <f t="shared" si="8"/>
        <v/>
      </c>
    </row>
    <row r="105" spans="2:9">
      <c r="B105" s="1" t="str">
        <f t="shared" si="14"/>
        <v/>
      </c>
      <c r="C105" s="64" t="str">
        <f t="shared" si="15"/>
        <v/>
      </c>
      <c r="D105" s="56" t="str">
        <f t="shared" si="9"/>
        <v/>
      </c>
      <c r="E105" s="56" t="str">
        <f t="shared" si="10"/>
        <v/>
      </c>
      <c r="F105" s="97" t="str">
        <f t="shared" si="11"/>
        <v/>
      </c>
      <c r="G105" s="93" t="str">
        <f t="shared" si="12"/>
        <v/>
      </c>
      <c r="H105" s="95">
        <f t="shared" si="13"/>
        <v>0</v>
      </c>
      <c r="I105" s="96" t="str">
        <f t="shared" si="8"/>
        <v/>
      </c>
    </row>
    <row r="106" spans="2:9">
      <c r="B106" s="1" t="str">
        <f t="shared" si="14"/>
        <v/>
      </c>
      <c r="C106" s="64" t="str">
        <f t="shared" si="15"/>
        <v/>
      </c>
      <c r="D106" s="56" t="str">
        <f t="shared" si="9"/>
        <v/>
      </c>
      <c r="E106" s="56" t="str">
        <f t="shared" si="10"/>
        <v/>
      </c>
      <c r="F106" s="97" t="str">
        <f t="shared" si="11"/>
        <v/>
      </c>
      <c r="G106" s="93" t="str">
        <f t="shared" si="12"/>
        <v/>
      </c>
      <c r="H106" s="95">
        <f t="shared" si="13"/>
        <v>0</v>
      </c>
      <c r="I106" s="96" t="str">
        <f t="shared" si="8"/>
        <v/>
      </c>
    </row>
    <row r="107" spans="2:9">
      <c r="B107" s="1" t="str">
        <f t="shared" si="14"/>
        <v/>
      </c>
      <c r="C107" s="64" t="str">
        <f t="shared" si="15"/>
        <v/>
      </c>
      <c r="D107" s="56" t="str">
        <f t="shared" si="9"/>
        <v/>
      </c>
      <c r="E107" s="56" t="str">
        <f t="shared" si="10"/>
        <v/>
      </c>
      <c r="F107" s="97" t="str">
        <f t="shared" si="11"/>
        <v/>
      </c>
      <c r="G107" s="93" t="str">
        <f t="shared" si="12"/>
        <v/>
      </c>
      <c r="H107" s="95">
        <f t="shared" si="13"/>
        <v>0</v>
      </c>
      <c r="I107" s="96" t="str">
        <f t="shared" si="8"/>
        <v/>
      </c>
    </row>
    <row r="108" spans="2:9">
      <c r="B108" s="1" t="str">
        <f t="shared" si="14"/>
        <v/>
      </c>
      <c r="C108" s="64" t="str">
        <f t="shared" si="15"/>
        <v/>
      </c>
      <c r="D108" s="56" t="str">
        <f t="shared" si="9"/>
        <v/>
      </c>
      <c r="E108" s="56" t="str">
        <f t="shared" si="10"/>
        <v/>
      </c>
      <c r="F108" s="97" t="str">
        <f t="shared" si="11"/>
        <v/>
      </c>
      <c r="G108" s="93" t="str">
        <f t="shared" si="12"/>
        <v/>
      </c>
      <c r="H108" s="95">
        <f t="shared" si="13"/>
        <v>0</v>
      </c>
      <c r="I108" s="96" t="str">
        <f t="shared" si="8"/>
        <v/>
      </c>
    </row>
    <row r="109" spans="2:9">
      <c r="B109" s="1" t="str">
        <f t="shared" si="14"/>
        <v/>
      </c>
      <c r="C109" s="64" t="str">
        <f t="shared" si="15"/>
        <v/>
      </c>
      <c r="D109" s="56" t="str">
        <f t="shared" si="9"/>
        <v/>
      </c>
      <c r="E109" s="56" t="str">
        <f t="shared" si="10"/>
        <v/>
      </c>
      <c r="F109" s="97" t="str">
        <f t="shared" si="11"/>
        <v/>
      </c>
      <c r="G109" s="93" t="str">
        <f t="shared" si="12"/>
        <v/>
      </c>
      <c r="H109" s="95">
        <f t="shared" si="13"/>
        <v>0</v>
      </c>
      <c r="I109" s="96" t="str">
        <f t="shared" si="8"/>
        <v/>
      </c>
    </row>
    <row r="110" spans="2:9">
      <c r="B110" s="1" t="str">
        <f t="shared" si="14"/>
        <v/>
      </c>
      <c r="C110" s="64" t="str">
        <f t="shared" si="15"/>
        <v/>
      </c>
      <c r="D110" s="56" t="str">
        <f t="shared" si="9"/>
        <v/>
      </c>
      <c r="E110" s="56" t="str">
        <f t="shared" si="10"/>
        <v/>
      </c>
      <c r="F110" s="97" t="str">
        <f t="shared" si="11"/>
        <v/>
      </c>
      <c r="G110" s="93" t="str">
        <f t="shared" si="12"/>
        <v/>
      </c>
      <c r="H110" s="95">
        <f t="shared" si="13"/>
        <v>0</v>
      </c>
      <c r="I110" s="96" t="str">
        <f t="shared" si="8"/>
        <v/>
      </c>
    </row>
    <row r="111" spans="2:9">
      <c r="B111" s="1" t="str">
        <f t="shared" si="14"/>
        <v/>
      </c>
      <c r="C111" s="64" t="str">
        <f t="shared" si="15"/>
        <v/>
      </c>
      <c r="D111" s="56" t="str">
        <f t="shared" si="9"/>
        <v/>
      </c>
      <c r="E111" s="56" t="str">
        <f t="shared" si="10"/>
        <v/>
      </c>
      <c r="F111" s="97" t="str">
        <f t="shared" si="11"/>
        <v/>
      </c>
      <c r="G111" s="93" t="str">
        <f t="shared" si="12"/>
        <v/>
      </c>
      <c r="H111" s="95">
        <f t="shared" si="13"/>
        <v>0</v>
      </c>
      <c r="I111" s="96" t="str">
        <f t="shared" si="8"/>
        <v/>
      </c>
    </row>
    <row r="112" spans="2:9">
      <c r="B112" s="1" t="str">
        <f t="shared" si="14"/>
        <v/>
      </c>
      <c r="C112" s="64" t="str">
        <f t="shared" si="15"/>
        <v/>
      </c>
      <c r="D112" s="56" t="str">
        <f t="shared" si="9"/>
        <v/>
      </c>
      <c r="E112" s="56" t="str">
        <f t="shared" si="10"/>
        <v/>
      </c>
      <c r="F112" s="97" t="str">
        <f t="shared" si="11"/>
        <v/>
      </c>
      <c r="G112" s="93" t="str">
        <f t="shared" si="12"/>
        <v/>
      </c>
      <c r="H112" s="95">
        <f t="shared" si="13"/>
        <v>0</v>
      </c>
      <c r="I112" s="96" t="str">
        <f t="shared" si="8"/>
        <v/>
      </c>
    </row>
    <row r="113" spans="2:9">
      <c r="B113" s="1" t="str">
        <f t="shared" si="14"/>
        <v/>
      </c>
      <c r="C113" s="64" t="str">
        <f t="shared" si="15"/>
        <v/>
      </c>
      <c r="D113" s="56" t="str">
        <f t="shared" si="9"/>
        <v/>
      </c>
      <c r="E113" s="56" t="str">
        <f t="shared" si="10"/>
        <v/>
      </c>
      <c r="F113" s="97" t="str">
        <f t="shared" si="11"/>
        <v/>
      </c>
      <c r="G113" s="93" t="str">
        <f t="shared" si="12"/>
        <v/>
      </c>
      <c r="H113" s="95">
        <f t="shared" si="13"/>
        <v>0</v>
      </c>
      <c r="I113" s="96" t="str">
        <f t="shared" si="8"/>
        <v/>
      </c>
    </row>
    <row r="114" spans="2:9">
      <c r="B114" s="1" t="str">
        <f t="shared" si="14"/>
        <v/>
      </c>
      <c r="C114" s="64" t="str">
        <f t="shared" si="15"/>
        <v/>
      </c>
      <c r="D114" s="56" t="str">
        <f t="shared" si="9"/>
        <v/>
      </c>
      <c r="E114" s="56" t="str">
        <f t="shared" si="10"/>
        <v/>
      </c>
      <c r="F114" s="97" t="str">
        <f t="shared" si="11"/>
        <v/>
      </c>
      <c r="G114" s="93" t="str">
        <f t="shared" si="12"/>
        <v/>
      </c>
      <c r="H114" s="95">
        <f t="shared" si="13"/>
        <v>0</v>
      </c>
      <c r="I114" s="96" t="str">
        <f t="shared" si="8"/>
        <v/>
      </c>
    </row>
    <row r="115" spans="2:9">
      <c r="B115" s="1" t="str">
        <f t="shared" si="14"/>
        <v/>
      </c>
      <c r="C115" s="64" t="str">
        <f t="shared" si="15"/>
        <v/>
      </c>
      <c r="D115" s="56" t="str">
        <f t="shared" si="9"/>
        <v/>
      </c>
      <c r="E115" s="56" t="str">
        <f t="shared" si="10"/>
        <v/>
      </c>
      <c r="F115" s="97" t="str">
        <f t="shared" si="11"/>
        <v/>
      </c>
      <c r="G115" s="93" t="str">
        <f t="shared" si="12"/>
        <v/>
      </c>
      <c r="H115" s="95">
        <f t="shared" si="13"/>
        <v>0</v>
      </c>
      <c r="I115" s="96" t="str">
        <f t="shared" si="8"/>
        <v/>
      </c>
    </row>
    <row r="116" spans="2:9">
      <c r="B116" s="1" t="str">
        <f t="shared" si="14"/>
        <v/>
      </c>
      <c r="C116" s="64" t="str">
        <f t="shared" si="15"/>
        <v/>
      </c>
      <c r="D116" s="56" t="str">
        <f t="shared" si="9"/>
        <v/>
      </c>
      <c r="E116" s="56" t="str">
        <f t="shared" si="10"/>
        <v/>
      </c>
      <c r="F116" s="97" t="str">
        <f t="shared" si="11"/>
        <v/>
      </c>
      <c r="G116" s="93" t="str">
        <f t="shared" si="12"/>
        <v/>
      </c>
      <c r="H116" s="95">
        <f t="shared" si="13"/>
        <v>0</v>
      </c>
      <c r="I116" s="96" t="str">
        <f t="shared" si="8"/>
        <v/>
      </c>
    </row>
    <row r="117" spans="2:9">
      <c r="B117" s="1" t="str">
        <f t="shared" si="14"/>
        <v/>
      </c>
      <c r="C117" s="64" t="str">
        <f t="shared" si="15"/>
        <v/>
      </c>
      <c r="D117" s="56" t="str">
        <f t="shared" si="9"/>
        <v/>
      </c>
      <c r="E117" s="56" t="str">
        <f t="shared" si="10"/>
        <v/>
      </c>
      <c r="F117" s="97" t="str">
        <f t="shared" si="11"/>
        <v/>
      </c>
      <c r="G117" s="93" t="str">
        <f t="shared" si="12"/>
        <v/>
      </c>
      <c r="H117" s="95">
        <f t="shared" si="13"/>
        <v>0</v>
      </c>
      <c r="I117" s="96" t="str">
        <f t="shared" si="8"/>
        <v/>
      </c>
    </row>
    <row r="118" spans="2:9">
      <c r="B118" s="1" t="str">
        <f t="shared" si="14"/>
        <v/>
      </c>
      <c r="C118" s="64" t="str">
        <f t="shared" si="15"/>
        <v/>
      </c>
      <c r="D118" s="56" t="str">
        <f t="shared" si="9"/>
        <v/>
      </c>
      <c r="E118" s="56" t="str">
        <f t="shared" si="10"/>
        <v/>
      </c>
      <c r="F118" s="97" t="str">
        <f t="shared" si="11"/>
        <v/>
      </c>
      <c r="G118" s="93" t="str">
        <f t="shared" si="12"/>
        <v/>
      </c>
      <c r="H118" s="95">
        <f t="shared" si="13"/>
        <v>0</v>
      </c>
      <c r="I118" s="96" t="str">
        <f t="shared" si="8"/>
        <v/>
      </c>
    </row>
    <row r="119" spans="2:9">
      <c r="B119" s="1" t="str">
        <f t="shared" si="14"/>
        <v/>
      </c>
      <c r="C119" s="64" t="str">
        <f t="shared" si="15"/>
        <v/>
      </c>
      <c r="D119" s="56" t="str">
        <f t="shared" si="9"/>
        <v/>
      </c>
      <c r="E119" s="56" t="str">
        <f t="shared" si="10"/>
        <v/>
      </c>
      <c r="F119" s="97" t="str">
        <f t="shared" si="11"/>
        <v/>
      </c>
      <c r="G119" s="93" t="str">
        <f t="shared" si="12"/>
        <v/>
      </c>
      <c r="H119" s="95">
        <f t="shared" si="13"/>
        <v>0</v>
      </c>
      <c r="I119" s="96" t="str">
        <f t="shared" si="8"/>
        <v/>
      </c>
    </row>
    <row r="120" spans="2:9">
      <c r="B120" s="1" t="str">
        <f t="shared" si="14"/>
        <v/>
      </c>
      <c r="C120" s="64" t="str">
        <f t="shared" si="15"/>
        <v/>
      </c>
      <c r="D120" s="56" t="str">
        <f t="shared" si="9"/>
        <v/>
      </c>
      <c r="E120" s="56" t="str">
        <f t="shared" si="10"/>
        <v/>
      </c>
      <c r="F120" s="97" t="str">
        <f t="shared" si="11"/>
        <v/>
      </c>
      <c r="G120" s="93" t="str">
        <f t="shared" si="12"/>
        <v/>
      </c>
      <c r="H120" s="95">
        <f t="shared" si="13"/>
        <v>0</v>
      </c>
      <c r="I120" s="96" t="str">
        <f t="shared" si="8"/>
        <v/>
      </c>
    </row>
    <row r="121" spans="2:9">
      <c r="B121" s="1" t="str">
        <f t="shared" si="14"/>
        <v/>
      </c>
      <c r="C121" s="64" t="str">
        <f t="shared" si="15"/>
        <v/>
      </c>
      <c r="D121" s="56" t="str">
        <f t="shared" si="9"/>
        <v/>
      </c>
      <c r="E121" s="56" t="str">
        <f t="shared" si="10"/>
        <v/>
      </c>
      <c r="F121" s="97" t="str">
        <f t="shared" si="11"/>
        <v/>
      </c>
      <c r="G121" s="93" t="str">
        <f t="shared" si="12"/>
        <v/>
      </c>
      <c r="H121" s="95">
        <f t="shared" si="13"/>
        <v>0</v>
      </c>
      <c r="I121" s="96" t="str">
        <f t="shared" si="8"/>
        <v/>
      </c>
    </row>
    <row r="122" spans="2:9">
      <c r="B122" s="1" t="str">
        <f t="shared" si="14"/>
        <v/>
      </c>
      <c r="C122" s="64" t="str">
        <f t="shared" si="15"/>
        <v/>
      </c>
      <c r="D122" s="56" t="str">
        <f t="shared" si="9"/>
        <v/>
      </c>
      <c r="E122" s="56" t="str">
        <f t="shared" si="10"/>
        <v/>
      </c>
      <c r="F122" s="97" t="str">
        <f t="shared" si="11"/>
        <v/>
      </c>
      <c r="G122" s="93" t="str">
        <f t="shared" si="12"/>
        <v/>
      </c>
      <c r="H122" s="95">
        <f t="shared" si="13"/>
        <v>0</v>
      </c>
      <c r="I122" s="96" t="str">
        <f t="shared" si="8"/>
        <v/>
      </c>
    </row>
    <row r="123" spans="2:9">
      <c r="B123" s="1" t="str">
        <f t="shared" si="14"/>
        <v/>
      </c>
      <c r="C123" s="64" t="str">
        <f t="shared" si="15"/>
        <v/>
      </c>
      <c r="D123" s="56" t="str">
        <f t="shared" si="9"/>
        <v/>
      </c>
      <c r="E123" s="56" t="str">
        <f t="shared" si="10"/>
        <v/>
      </c>
      <c r="F123" s="97" t="str">
        <f t="shared" si="11"/>
        <v/>
      </c>
      <c r="G123" s="93" t="str">
        <f t="shared" si="12"/>
        <v/>
      </c>
      <c r="H123" s="95">
        <f t="shared" si="13"/>
        <v>0</v>
      </c>
      <c r="I123" s="96" t="str">
        <f t="shared" si="8"/>
        <v/>
      </c>
    </row>
    <row r="124" spans="2:9">
      <c r="B124" s="1" t="str">
        <f t="shared" si="14"/>
        <v/>
      </c>
      <c r="C124" s="64" t="str">
        <f t="shared" si="15"/>
        <v/>
      </c>
      <c r="D124" s="56" t="str">
        <f t="shared" si="9"/>
        <v/>
      </c>
      <c r="E124" s="56" t="str">
        <f t="shared" si="10"/>
        <v/>
      </c>
      <c r="F124" s="97" t="str">
        <f t="shared" si="11"/>
        <v/>
      </c>
      <c r="G124" s="93" t="str">
        <f t="shared" si="12"/>
        <v/>
      </c>
      <c r="H124" s="95">
        <f t="shared" si="13"/>
        <v>0</v>
      </c>
      <c r="I124" s="96" t="str">
        <f t="shared" si="8"/>
        <v/>
      </c>
    </row>
    <row r="125" spans="2:9">
      <c r="B125" s="1" t="str">
        <f t="shared" si="14"/>
        <v/>
      </c>
      <c r="C125" s="64" t="str">
        <f t="shared" si="15"/>
        <v/>
      </c>
      <c r="D125" s="56" t="str">
        <f t="shared" si="9"/>
        <v/>
      </c>
      <c r="E125" s="56" t="str">
        <f t="shared" si="10"/>
        <v/>
      </c>
      <c r="F125" s="97" t="str">
        <f t="shared" si="11"/>
        <v/>
      </c>
      <c r="G125" s="93" t="str">
        <f t="shared" si="12"/>
        <v/>
      </c>
      <c r="H125" s="95">
        <f t="shared" si="13"/>
        <v>0</v>
      </c>
      <c r="I125" s="96" t="str">
        <f t="shared" si="8"/>
        <v/>
      </c>
    </row>
    <row r="126" spans="2:9">
      <c r="B126" s="1" t="str">
        <f t="shared" si="14"/>
        <v/>
      </c>
      <c r="C126" s="64" t="str">
        <f t="shared" si="15"/>
        <v/>
      </c>
      <c r="D126" s="56" t="str">
        <f t="shared" si="9"/>
        <v/>
      </c>
      <c r="E126" s="56" t="str">
        <f t="shared" si="10"/>
        <v/>
      </c>
      <c r="F126" s="97" t="str">
        <f t="shared" si="11"/>
        <v/>
      </c>
      <c r="G126" s="93" t="str">
        <f t="shared" si="12"/>
        <v/>
      </c>
      <c r="H126" s="95">
        <f t="shared" si="13"/>
        <v>0</v>
      </c>
      <c r="I126" s="96" t="str">
        <f t="shared" si="8"/>
        <v/>
      </c>
    </row>
    <row r="127" spans="2:9">
      <c r="B127" s="1" t="str">
        <f t="shared" si="14"/>
        <v/>
      </c>
      <c r="C127" s="64" t="str">
        <f t="shared" si="15"/>
        <v/>
      </c>
      <c r="D127" s="56" t="str">
        <f t="shared" si="9"/>
        <v/>
      </c>
      <c r="E127" s="56" t="str">
        <f t="shared" si="10"/>
        <v/>
      </c>
      <c r="F127" s="97" t="str">
        <f t="shared" si="11"/>
        <v/>
      </c>
      <c r="G127" s="93" t="str">
        <f t="shared" si="12"/>
        <v/>
      </c>
      <c r="H127" s="95">
        <f t="shared" si="13"/>
        <v>0</v>
      </c>
      <c r="I127" s="96" t="str">
        <f t="shared" si="8"/>
        <v/>
      </c>
    </row>
    <row r="128" spans="2:9">
      <c r="B128" s="1" t="str">
        <f t="shared" si="14"/>
        <v/>
      </c>
      <c r="C128" s="64" t="str">
        <f t="shared" si="15"/>
        <v/>
      </c>
      <c r="D128" s="56" t="str">
        <f t="shared" si="9"/>
        <v/>
      </c>
      <c r="E128" s="56" t="str">
        <f t="shared" si="10"/>
        <v/>
      </c>
      <c r="F128" s="97" t="str">
        <f t="shared" si="11"/>
        <v/>
      </c>
      <c r="G128" s="93" t="str">
        <f t="shared" si="12"/>
        <v/>
      </c>
      <c r="H128" s="95">
        <f t="shared" si="13"/>
        <v>0</v>
      </c>
      <c r="I128" s="96" t="str">
        <f t="shared" si="8"/>
        <v/>
      </c>
    </row>
    <row r="129" spans="2:9">
      <c r="B129" s="1" t="str">
        <f t="shared" si="14"/>
        <v/>
      </c>
      <c r="C129" s="64" t="str">
        <f t="shared" si="15"/>
        <v/>
      </c>
      <c r="D129" s="56" t="str">
        <f t="shared" si="9"/>
        <v/>
      </c>
      <c r="E129" s="56" t="str">
        <f t="shared" si="10"/>
        <v/>
      </c>
      <c r="F129" s="97" t="str">
        <f t="shared" si="11"/>
        <v/>
      </c>
      <c r="G129" s="93" t="str">
        <f t="shared" si="12"/>
        <v/>
      </c>
      <c r="H129" s="95">
        <f t="shared" si="13"/>
        <v>0</v>
      </c>
      <c r="I129" s="96" t="str">
        <f t="shared" si="8"/>
        <v/>
      </c>
    </row>
    <row r="130" spans="2:9">
      <c r="B130" s="1" t="str">
        <f t="shared" si="14"/>
        <v/>
      </c>
      <c r="C130" s="64" t="str">
        <f t="shared" si="15"/>
        <v/>
      </c>
      <c r="D130" s="56" t="str">
        <f t="shared" si="9"/>
        <v/>
      </c>
      <c r="E130" s="56" t="str">
        <f t="shared" si="10"/>
        <v/>
      </c>
      <c r="F130" s="97" t="str">
        <f t="shared" si="11"/>
        <v/>
      </c>
      <c r="G130" s="93" t="str">
        <f t="shared" si="12"/>
        <v/>
      </c>
      <c r="H130" s="95">
        <f t="shared" si="13"/>
        <v>0</v>
      </c>
      <c r="I130" s="96" t="str">
        <f t="shared" si="8"/>
        <v/>
      </c>
    </row>
    <row r="131" spans="2:9">
      <c r="B131" s="1" t="str">
        <f t="shared" si="14"/>
        <v/>
      </c>
      <c r="C131" s="64" t="str">
        <f t="shared" si="15"/>
        <v/>
      </c>
      <c r="D131" s="56" t="str">
        <f t="shared" si="9"/>
        <v/>
      </c>
      <c r="E131" s="56" t="str">
        <f t="shared" si="10"/>
        <v/>
      </c>
      <c r="F131" s="97" t="str">
        <f t="shared" si="11"/>
        <v/>
      </c>
      <c r="G131" s="93" t="str">
        <f t="shared" si="12"/>
        <v/>
      </c>
      <c r="H131" s="95">
        <f t="shared" si="13"/>
        <v>0</v>
      </c>
      <c r="I131" s="96" t="str">
        <f t="shared" si="8"/>
        <v/>
      </c>
    </row>
    <row r="132" spans="2:9">
      <c r="B132" s="1" t="str">
        <f t="shared" si="14"/>
        <v/>
      </c>
      <c r="C132" s="64" t="str">
        <f t="shared" si="15"/>
        <v/>
      </c>
      <c r="D132" s="56" t="str">
        <f t="shared" si="9"/>
        <v/>
      </c>
      <c r="E132" s="56" t="str">
        <f t="shared" si="10"/>
        <v/>
      </c>
      <c r="F132" s="97" t="str">
        <f t="shared" si="11"/>
        <v/>
      </c>
      <c r="G132" s="93" t="str">
        <f t="shared" si="12"/>
        <v/>
      </c>
      <c r="H132" s="95">
        <f t="shared" si="13"/>
        <v>0</v>
      </c>
      <c r="I132" s="96" t="str">
        <f t="shared" si="8"/>
        <v/>
      </c>
    </row>
    <row r="133" spans="2:9">
      <c r="B133" s="1" t="str">
        <f t="shared" si="14"/>
        <v/>
      </c>
      <c r="C133" s="64" t="str">
        <f t="shared" si="15"/>
        <v/>
      </c>
      <c r="D133" s="56" t="str">
        <f t="shared" si="9"/>
        <v/>
      </c>
      <c r="E133" s="56" t="str">
        <f t="shared" si="10"/>
        <v/>
      </c>
      <c r="F133" s="97" t="str">
        <f t="shared" si="11"/>
        <v/>
      </c>
      <c r="G133" s="93" t="str">
        <f t="shared" si="12"/>
        <v/>
      </c>
      <c r="H133" s="95">
        <f t="shared" si="13"/>
        <v>0</v>
      </c>
      <c r="I133" s="96" t="str">
        <f t="shared" si="8"/>
        <v/>
      </c>
    </row>
    <row r="134" spans="2:9">
      <c r="B134" s="1" t="str">
        <f t="shared" si="14"/>
        <v/>
      </c>
      <c r="C134" s="64" t="str">
        <f t="shared" si="15"/>
        <v/>
      </c>
      <c r="D134" s="56" t="str">
        <f t="shared" si="9"/>
        <v/>
      </c>
      <c r="E134" s="56" t="str">
        <f t="shared" si="10"/>
        <v/>
      </c>
      <c r="F134" s="97" t="str">
        <f t="shared" si="11"/>
        <v/>
      </c>
      <c r="G134" s="93" t="str">
        <f t="shared" si="12"/>
        <v/>
      </c>
      <c r="H134" s="95">
        <f t="shared" si="13"/>
        <v>0</v>
      </c>
      <c r="I134" s="96" t="str">
        <f t="shared" si="8"/>
        <v/>
      </c>
    </row>
    <row r="135" spans="2:9">
      <c r="B135" s="1" t="str">
        <f t="shared" si="14"/>
        <v/>
      </c>
      <c r="C135" s="64" t="str">
        <f t="shared" si="15"/>
        <v/>
      </c>
      <c r="D135" s="56" t="str">
        <f t="shared" si="9"/>
        <v/>
      </c>
      <c r="E135" s="56" t="str">
        <f t="shared" si="10"/>
        <v/>
      </c>
      <c r="F135" s="97" t="str">
        <f t="shared" si="11"/>
        <v/>
      </c>
      <c r="G135" s="93" t="str">
        <f t="shared" si="12"/>
        <v/>
      </c>
      <c r="H135" s="95">
        <f t="shared" si="13"/>
        <v>0</v>
      </c>
      <c r="I135" s="96" t="str">
        <f t="shared" si="8"/>
        <v/>
      </c>
    </row>
    <row r="136" spans="2:9">
      <c r="B136" s="1" t="str">
        <f t="shared" si="14"/>
        <v/>
      </c>
      <c r="C136" s="64" t="str">
        <f t="shared" si="15"/>
        <v/>
      </c>
      <c r="D136" s="56" t="str">
        <f t="shared" si="9"/>
        <v/>
      </c>
      <c r="E136" s="56" t="str">
        <f t="shared" si="10"/>
        <v/>
      </c>
      <c r="F136" s="97" t="str">
        <f t="shared" si="11"/>
        <v/>
      </c>
      <c r="G136" s="93" t="str">
        <f t="shared" si="12"/>
        <v/>
      </c>
      <c r="H136" s="95">
        <f t="shared" si="13"/>
        <v>0</v>
      </c>
      <c r="I136" s="96" t="str">
        <f t="shared" si="8"/>
        <v/>
      </c>
    </row>
    <row r="137" spans="2:9">
      <c r="B137" s="98" t="str">
        <f t="shared" si="14"/>
        <v/>
      </c>
      <c r="C137" s="99" t="str">
        <f t="shared" si="15"/>
        <v/>
      </c>
      <c r="D137" s="100" t="str">
        <f t="shared" si="9"/>
        <v/>
      </c>
      <c r="E137" s="100" t="str">
        <f t="shared" si="10"/>
        <v/>
      </c>
      <c r="F137" s="101" t="str">
        <f t="shared" si="11"/>
        <v/>
      </c>
      <c r="G137" s="102" t="str">
        <f t="shared" si="12"/>
        <v/>
      </c>
      <c r="H137" s="103">
        <f t="shared" si="13"/>
        <v>0</v>
      </c>
      <c r="I137" s="96" t="str">
        <f t="shared" si="8"/>
        <v/>
      </c>
    </row>
    <row r="138" spans="2:9">
      <c r="B138" s="1"/>
      <c r="C138" s="64"/>
      <c r="D138" s="93"/>
      <c r="E138" s="93"/>
      <c r="F138" s="93"/>
      <c r="G138" s="93"/>
      <c r="H138" s="95"/>
    </row>
    <row r="139" spans="2:9">
      <c r="B139" s="1"/>
      <c r="C139" s="64"/>
      <c r="D139" s="93"/>
      <c r="E139" s="93"/>
      <c r="F139" s="93"/>
      <c r="G139" s="93"/>
      <c r="H139" s="95"/>
    </row>
    <row r="140" spans="2:9">
      <c r="B140" s="1"/>
      <c r="C140" s="64"/>
      <c r="D140" s="93"/>
      <c r="E140" s="93"/>
      <c r="F140" s="93"/>
      <c r="G140" s="93"/>
      <c r="H140" s="95"/>
    </row>
    <row r="141" spans="2:9">
      <c r="B141" s="1"/>
      <c r="C141" s="64"/>
      <c r="D141" s="93"/>
      <c r="E141" s="93"/>
      <c r="F141" s="93"/>
      <c r="G141" s="93"/>
      <c r="H141" s="95"/>
    </row>
    <row r="142" spans="2:9">
      <c r="B142" s="1"/>
      <c r="C142" s="64"/>
      <c r="D142" s="93"/>
      <c r="E142" s="93"/>
      <c r="F142" s="93"/>
      <c r="G142" s="93"/>
      <c r="H142" s="95"/>
    </row>
    <row r="143" spans="2:9">
      <c r="B143" s="1"/>
      <c r="C143" s="64"/>
      <c r="D143" s="93"/>
      <c r="E143" s="93"/>
      <c r="F143" s="93"/>
      <c r="G143" s="93"/>
      <c r="H143" s="95"/>
    </row>
    <row r="144" spans="2:9">
      <c r="B144" s="1"/>
      <c r="C144" s="64"/>
      <c r="D144" s="93"/>
      <c r="E144" s="93"/>
      <c r="F144" s="93"/>
      <c r="G144" s="93"/>
      <c r="H144" s="95"/>
    </row>
    <row r="145" spans="2:8">
      <c r="B145" s="1"/>
      <c r="C145" s="64"/>
      <c r="D145" s="93"/>
      <c r="E145" s="93"/>
      <c r="F145" s="93"/>
      <c r="G145" s="93"/>
      <c r="H145" s="95"/>
    </row>
    <row r="146" spans="2:8">
      <c r="B146" s="1"/>
      <c r="C146" s="64"/>
      <c r="D146" s="93"/>
      <c r="E146" s="93"/>
      <c r="F146" s="93"/>
      <c r="G146" s="93"/>
      <c r="H146" s="95"/>
    </row>
    <row r="147" spans="2:8">
      <c r="B147" s="1"/>
      <c r="C147" s="64"/>
      <c r="D147" s="93"/>
      <c r="E147" s="93"/>
      <c r="F147" s="93"/>
      <c r="G147" s="93"/>
      <c r="H147" s="95"/>
    </row>
    <row r="148" spans="2:8">
      <c r="B148" s="1"/>
      <c r="C148" s="64"/>
      <c r="D148" s="93"/>
      <c r="E148" s="93"/>
      <c r="F148" s="93"/>
      <c r="G148" s="93"/>
      <c r="H148" s="95"/>
    </row>
    <row r="149" spans="2:8">
      <c r="B149" s="1"/>
      <c r="C149" s="64"/>
      <c r="D149" s="93"/>
      <c r="E149" s="93"/>
      <c r="F149" s="93"/>
      <c r="G149" s="93"/>
      <c r="H149" s="95"/>
    </row>
    <row r="150" spans="2:8">
      <c r="B150" s="1"/>
      <c r="C150" s="64"/>
      <c r="D150" s="93"/>
      <c r="E150" s="93"/>
      <c r="F150" s="93"/>
      <c r="G150" s="93"/>
      <c r="H150" s="95"/>
    </row>
    <row r="151" spans="2:8">
      <c r="B151" s="1"/>
      <c r="C151" s="64"/>
      <c r="D151" s="93"/>
      <c r="E151" s="93"/>
      <c r="F151" s="93"/>
      <c r="G151" s="93"/>
      <c r="H151" s="95"/>
    </row>
    <row r="152" spans="2:8">
      <c r="B152" s="1"/>
      <c r="C152" s="64"/>
      <c r="D152" s="93"/>
      <c r="E152" s="93"/>
      <c r="F152" s="93"/>
      <c r="G152" s="93"/>
      <c r="H152" s="95"/>
    </row>
    <row r="153" spans="2:8">
      <c r="B153" s="1"/>
      <c r="C153" s="64"/>
      <c r="D153" s="93"/>
      <c r="E153" s="93"/>
      <c r="F153" s="93"/>
      <c r="G153" s="93"/>
      <c r="H153" s="95"/>
    </row>
    <row r="154" spans="2:8">
      <c r="B154" s="1"/>
      <c r="C154" s="64"/>
      <c r="D154" s="93"/>
      <c r="E154" s="93"/>
      <c r="F154" s="93"/>
      <c r="G154" s="93"/>
      <c r="H154" s="95"/>
    </row>
    <row r="155" spans="2:8">
      <c r="B155" s="1"/>
      <c r="C155" s="64"/>
      <c r="D155" s="93"/>
      <c r="E155" s="93"/>
      <c r="F155" s="93"/>
      <c r="G155" s="93"/>
      <c r="H155" s="95"/>
    </row>
    <row r="156" spans="2:8">
      <c r="B156" s="1"/>
      <c r="C156" s="64"/>
      <c r="D156" s="93"/>
      <c r="E156" s="93"/>
      <c r="F156" s="93"/>
      <c r="G156" s="93"/>
      <c r="H156" s="95"/>
    </row>
    <row r="157" spans="2:8">
      <c r="B157" s="1"/>
      <c r="C157" s="64"/>
      <c r="D157" s="93"/>
      <c r="E157" s="93"/>
      <c r="F157" s="93"/>
      <c r="G157" s="93"/>
      <c r="H157" s="95"/>
    </row>
    <row r="158" spans="2:8">
      <c r="B158" s="1"/>
      <c r="C158" s="64"/>
      <c r="D158" s="93"/>
      <c r="E158" s="93"/>
      <c r="F158" s="93"/>
      <c r="G158" s="93"/>
      <c r="H158" s="95"/>
    </row>
    <row r="159" spans="2:8">
      <c r="B159" s="1"/>
      <c r="C159" s="64"/>
      <c r="D159" s="93"/>
      <c r="E159" s="93"/>
      <c r="F159" s="93"/>
      <c r="G159" s="93"/>
      <c r="H159" s="95"/>
    </row>
    <row r="160" spans="2:8">
      <c r="B160" s="1"/>
      <c r="C160" s="64"/>
      <c r="D160" s="93"/>
      <c r="E160" s="93"/>
      <c r="F160" s="93"/>
      <c r="G160" s="93"/>
      <c r="H160" s="95"/>
    </row>
    <row r="161" spans="2:8">
      <c r="B161" s="1"/>
      <c r="C161" s="64"/>
      <c r="D161" s="93"/>
      <c r="E161" s="93"/>
      <c r="F161" s="93"/>
      <c r="G161" s="93"/>
      <c r="H161" s="95"/>
    </row>
    <row r="162" spans="2:8">
      <c r="B162" s="1"/>
      <c r="C162" s="64"/>
      <c r="D162" s="93"/>
      <c r="E162" s="93"/>
      <c r="F162" s="93"/>
      <c r="G162" s="93"/>
      <c r="H162" s="95"/>
    </row>
    <row r="163" spans="2:8">
      <c r="B163" s="1"/>
      <c r="C163" s="64"/>
      <c r="D163" s="93"/>
      <c r="E163" s="93"/>
      <c r="F163" s="93"/>
      <c r="G163" s="93"/>
      <c r="H163" s="95"/>
    </row>
    <row r="164" spans="2:8">
      <c r="B164" s="1"/>
      <c r="C164" s="64"/>
      <c r="D164" s="93"/>
      <c r="E164" s="93"/>
      <c r="F164" s="93"/>
      <c r="G164" s="93"/>
      <c r="H164" s="95"/>
    </row>
    <row r="165" spans="2:8">
      <c r="B165" s="1"/>
      <c r="C165" s="64"/>
      <c r="D165" s="93"/>
      <c r="E165" s="93"/>
      <c r="F165" s="93"/>
      <c r="G165" s="93"/>
      <c r="H165" s="95"/>
    </row>
    <row r="166" spans="2:8">
      <c r="B166" s="1"/>
      <c r="C166" s="64"/>
      <c r="D166" s="93"/>
      <c r="E166" s="93"/>
      <c r="F166" s="93"/>
      <c r="G166" s="93"/>
      <c r="H166" s="95"/>
    </row>
    <row r="167" spans="2:8">
      <c r="B167" s="1"/>
      <c r="C167" s="64"/>
      <c r="D167" s="93"/>
      <c r="E167" s="93"/>
      <c r="F167" s="93"/>
      <c r="G167" s="93"/>
      <c r="H167" s="95"/>
    </row>
    <row r="168" spans="2:8">
      <c r="B168" s="1"/>
      <c r="C168" s="64"/>
      <c r="D168" s="93"/>
      <c r="E168" s="93"/>
      <c r="F168" s="93"/>
      <c r="G168" s="93"/>
      <c r="H168" s="95"/>
    </row>
    <row r="169" spans="2:8">
      <c r="B169" s="1"/>
      <c r="C169" s="64"/>
      <c r="D169" s="93"/>
      <c r="E169" s="93"/>
      <c r="F169" s="93"/>
      <c r="G169" s="93"/>
      <c r="H169" s="95"/>
    </row>
    <row r="170" spans="2:8">
      <c r="B170" s="1"/>
      <c r="C170" s="64"/>
      <c r="D170" s="93"/>
      <c r="E170" s="93"/>
      <c r="F170" s="93"/>
      <c r="G170" s="93"/>
      <c r="H170" s="95"/>
    </row>
    <row r="171" spans="2:8">
      <c r="B171" s="1"/>
      <c r="C171" s="64"/>
      <c r="D171" s="93"/>
      <c r="E171" s="93"/>
      <c r="F171" s="93"/>
      <c r="G171" s="93"/>
      <c r="H171" s="95"/>
    </row>
    <row r="172" spans="2:8">
      <c r="B172" s="1"/>
      <c r="C172" s="64"/>
      <c r="D172" s="93"/>
      <c r="E172" s="93"/>
      <c r="F172" s="93"/>
      <c r="G172" s="93"/>
      <c r="H172" s="95"/>
    </row>
    <row r="173" spans="2:8">
      <c r="B173" s="1"/>
      <c r="C173" s="64"/>
      <c r="D173" s="93"/>
      <c r="E173" s="93"/>
      <c r="F173" s="93"/>
      <c r="G173" s="93"/>
      <c r="H173" s="95"/>
    </row>
    <row r="174" spans="2:8">
      <c r="B174" s="1"/>
      <c r="C174" s="64"/>
      <c r="D174" s="93"/>
      <c r="E174" s="93"/>
      <c r="F174" s="93"/>
      <c r="G174" s="93"/>
      <c r="H174" s="95"/>
    </row>
    <row r="175" spans="2:8">
      <c r="B175" s="1"/>
      <c r="C175" s="64"/>
      <c r="D175" s="93"/>
      <c r="E175" s="93"/>
      <c r="F175" s="93"/>
      <c r="G175" s="93"/>
      <c r="H175" s="95"/>
    </row>
    <row r="176" spans="2:8">
      <c r="B176" s="1"/>
      <c r="C176" s="64"/>
      <c r="D176" s="93"/>
      <c r="E176" s="93"/>
      <c r="F176" s="93"/>
      <c r="G176" s="93"/>
      <c r="H176" s="95"/>
    </row>
    <row r="177" spans="2:8">
      <c r="B177" s="1"/>
      <c r="C177" s="64"/>
      <c r="D177" s="93"/>
      <c r="E177" s="93"/>
      <c r="F177" s="93"/>
      <c r="G177" s="93"/>
      <c r="H177" s="95"/>
    </row>
    <row r="178" spans="2:8">
      <c r="B178" s="1"/>
      <c r="C178" s="64"/>
      <c r="D178" s="93"/>
      <c r="E178" s="93"/>
      <c r="F178" s="93"/>
      <c r="G178" s="93"/>
      <c r="H178" s="95"/>
    </row>
    <row r="179" spans="2:8">
      <c r="B179" s="1"/>
      <c r="C179" s="64"/>
      <c r="D179" s="93"/>
      <c r="E179" s="93"/>
      <c r="F179" s="93"/>
      <c r="G179" s="93"/>
      <c r="H179" s="95"/>
    </row>
    <row r="180" spans="2:8">
      <c r="B180" s="1"/>
      <c r="C180" s="64"/>
      <c r="D180" s="93"/>
      <c r="E180" s="93"/>
      <c r="F180" s="93"/>
      <c r="G180" s="93"/>
      <c r="H180" s="95"/>
    </row>
    <row r="181" spans="2:8">
      <c r="B181" s="1"/>
      <c r="C181" s="64"/>
      <c r="D181" s="93"/>
      <c r="E181" s="93"/>
      <c r="F181" s="93"/>
      <c r="G181" s="93"/>
      <c r="H181" s="95"/>
    </row>
    <row r="182" spans="2:8">
      <c r="B182" s="1"/>
      <c r="C182" s="64"/>
      <c r="D182" s="93"/>
      <c r="E182" s="93"/>
      <c r="F182" s="93"/>
      <c r="G182" s="93"/>
      <c r="H182" s="95"/>
    </row>
    <row r="183" spans="2:8">
      <c r="B183" s="1"/>
      <c r="C183" s="64"/>
      <c r="D183" s="93"/>
      <c r="E183" s="93"/>
      <c r="F183" s="94"/>
      <c r="G183" s="93"/>
      <c r="H183" s="95"/>
    </row>
    <row r="184" spans="2:8">
      <c r="B184" s="1"/>
      <c r="C184" s="64"/>
      <c r="D184" s="93"/>
      <c r="E184" s="93"/>
      <c r="F184" s="94"/>
      <c r="G184" s="93"/>
      <c r="H184" s="95"/>
    </row>
    <row r="185" spans="2:8">
      <c r="B185" s="1"/>
      <c r="C185" s="64"/>
      <c r="D185" s="93"/>
      <c r="E185" s="93"/>
      <c r="F185" s="94"/>
      <c r="G185" s="93"/>
      <c r="H185" s="95"/>
    </row>
    <row r="186" spans="2:8">
      <c r="B186" s="1"/>
      <c r="C186" s="64"/>
      <c r="D186" s="93"/>
      <c r="E186" s="93"/>
      <c r="F186" s="94"/>
      <c r="G186" s="93"/>
      <c r="H186" s="95"/>
    </row>
    <row r="187" spans="2:8">
      <c r="B187" s="1"/>
      <c r="C187" s="64"/>
      <c r="D187" s="93"/>
      <c r="E187" s="93"/>
      <c r="F187" s="94"/>
      <c r="G187" s="93"/>
      <c r="H187" s="95"/>
    </row>
    <row r="188" spans="2:8">
      <c r="B188" s="1"/>
      <c r="C188" s="64"/>
      <c r="D188" s="93"/>
      <c r="E188" s="93"/>
      <c r="F188" s="94"/>
      <c r="G188" s="93"/>
      <c r="H188" s="95"/>
    </row>
    <row r="189" spans="2:8">
      <c r="B189" s="1"/>
      <c r="C189" s="64"/>
      <c r="D189" s="93"/>
      <c r="E189" s="93"/>
      <c r="F189" s="94"/>
      <c r="G189" s="93"/>
      <c r="H189" s="95"/>
    </row>
    <row r="190" spans="2:8">
      <c r="B190" s="1"/>
      <c r="C190" s="64"/>
      <c r="D190" s="93"/>
      <c r="E190" s="93"/>
      <c r="F190" s="94"/>
      <c r="G190" s="93"/>
      <c r="H190" s="95"/>
    </row>
    <row r="191" spans="2:8">
      <c r="B191" s="1"/>
      <c r="C191" s="64"/>
      <c r="D191" s="93"/>
      <c r="E191" s="93"/>
      <c r="F191" s="94"/>
      <c r="G191" s="93"/>
      <c r="H191" s="95"/>
    </row>
    <row r="192" spans="2:8">
      <c r="B192" s="1"/>
      <c r="C192" s="64"/>
      <c r="D192" s="93"/>
      <c r="E192" s="93"/>
      <c r="F192" s="94"/>
      <c r="G192" s="93"/>
      <c r="H192" s="95"/>
    </row>
    <row r="193" spans="2:8">
      <c r="B193" s="1"/>
      <c r="C193" s="64"/>
      <c r="D193" s="93"/>
      <c r="E193" s="93"/>
      <c r="F193" s="94"/>
      <c r="G193" s="93"/>
      <c r="H193" s="95"/>
    </row>
    <row r="194" spans="2:8">
      <c r="B194" s="1"/>
      <c r="C194" s="64"/>
      <c r="D194" s="93"/>
      <c r="E194" s="93"/>
      <c r="F194" s="94"/>
      <c r="G194" s="93"/>
      <c r="H194" s="95"/>
    </row>
    <row r="195" spans="2:8">
      <c r="B195" s="1"/>
      <c r="C195" s="64"/>
      <c r="D195" s="93"/>
      <c r="E195" s="93"/>
      <c r="F195" s="94"/>
      <c r="G195" s="93"/>
      <c r="H195" s="95"/>
    </row>
    <row r="196" spans="2:8">
      <c r="B196" s="1"/>
      <c r="C196" s="64"/>
      <c r="D196" s="93"/>
      <c r="E196" s="93"/>
      <c r="F196" s="94"/>
      <c r="G196" s="93"/>
      <c r="H196" s="95"/>
    </row>
    <row r="197" spans="2:8">
      <c r="B197" s="1"/>
      <c r="C197" s="64"/>
      <c r="D197" s="93"/>
      <c r="E197" s="93"/>
      <c r="F197" s="94"/>
      <c r="G197" s="93"/>
      <c r="H197" s="95"/>
    </row>
    <row r="198" spans="2:8">
      <c r="B198" s="1"/>
      <c r="C198" s="64"/>
      <c r="D198" s="93"/>
      <c r="E198" s="93"/>
      <c r="F198" s="94"/>
      <c r="G198" s="93"/>
      <c r="H198" s="95"/>
    </row>
    <row r="199" spans="2:8">
      <c r="B199" s="1"/>
      <c r="C199" s="64"/>
      <c r="D199" s="93"/>
      <c r="E199" s="93"/>
      <c r="F199" s="94"/>
      <c r="G199" s="93"/>
      <c r="H199" s="95"/>
    </row>
    <row r="200" spans="2:8">
      <c r="B200" s="1"/>
      <c r="C200" s="64"/>
      <c r="D200" s="104"/>
      <c r="E200" s="104"/>
      <c r="F200" s="105"/>
      <c r="G200" s="106"/>
      <c r="H200" s="95"/>
    </row>
    <row r="201" spans="2:8">
      <c r="B201" s="1"/>
      <c r="C201" s="64"/>
      <c r="D201" s="104"/>
      <c r="E201" s="104"/>
      <c r="F201" s="105"/>
      <c r="G201" s="106"/>
      <c r="H201" s="95"/>
    </row>
    <row r="202" spans="2:8">
      <c r="B202" s="1"/>
      <c r="C202" s="64"/>
      <c r="D202" s="104"/>
      <c r="E202" s="104"/>
      <c r="F202" s="105"/>
      <c r="G202" s="106"/>
      <c r="H202" s="95"/>
    </row>
    <row r="203" spans="2:8">
      <c r="B203" s="1"/>
      <c r="C203" s="64"/>
      <c r="D203" s="104"/>
      <c r="E203" s="104"/>
      <c r="F203" s="105"/>
      <c r="G203" s="106"/>
      <c r="H203" s="95"/>
    </row>
    <row r="204" spans="2:8">
      <c r="B204" s="1"/>
      <c r="C204" s="64"/>
      <c r="D204" s="104"/>
      <c r="E204" s="104"/>
      <c r="F204" s="105"/>
      <c r="G204" s="106"/>
      <c r="H204" s="95"/>
    </row>
    <row r="205" spans="2:8">
      <c r="B205" s="1"/>
      <c r="C205" s="64"/>
      <c r="D205" s="104"/>
      <c r="E205" s="104"/>
      <c r="F205" s="105"/>
      <c r="G205" s="106"/>
      <c r="H205" s="95"/>
    </row>
    <row r="206" spans="2:8">
      <c r="B206" s="1"/>
      <c r="C206" s="64"/>
      <c r="D206" s="104"/>
      <c r="E206" s="104"/>
      <c r="F206" s="105"/>
      <c r="G206" s="106"/>
      <c r="H206" s="95"/>
    </row>
    <row r="207" spans="2:8">
      <c r="B207" s="1"/>
      <c r="C207" s="64"/>
      <c r="D207" s="104"/>
      <c r="E207" s="104"/>
      <c r="F207" s="105"/>
      <c r="G207" s="106"/>
      <c r="H207" s="95"/>
    </row>
    <row r="208" spans="2:8">
      <c r="B208" s="1"/>
      <c r="C208" s="64"/>
      <c r="D208" s="104"/>
      <c r="E208" s="104"/>
      <c r="F208" s="105"/>
      <c r="G208" s="106"/>
      <c r="H208" s="95"/>
    </row>
    <row r="209" spans="2:8">
      <c r="B209" s="1"/>
      <c r="C209" s="64"/>
      <c r="D209" s="104"/>
      <c r="E209" s="104"/>
      <c r="F209" s="105"/>
      <c r="G209" s="106"/>
      <c r="H209" s="95"/>
    </row>
    <row r="210" spans="2:8">
      <c r="B210" s="1"/>
      <c r="C210" s="64"/>
      <c r="D210" s="104"/>
      <c r="E210" s="104"/>
      <c r="F210" s="105"/>
      <c r="G210" s="106"/>
      <c r="H210" s="95"/>
    </row>
    <row r="211" spans="2:8">
      <c r="B211" s="1"/>
      <c r="C211" s="64"/>
      <c r="D211" s="104"/>
      <c r="E211" s="104"/>
      <c r="F211" s="105"/>
      <c r="G211" s="106"/>
      <c r="H211" s="95"/>
    </row>
    <row r="212" spans="2:8">
      <c r="B212" s="1"/>
      <c r="C212" s="64"/>
      <c r="D212" s="104"/>
      <c r="E212" s="104"/>
      <c r="F212" s="105"/>
      <c r="G212" s="106"/>
      <c r="H212" s="95"/>
    </row>
    <row r="213" spans="2:8">
      <c r="B213" s="1"/>
      <c r="C213" s="64"/>
      <c r="D213" s="104"/>
      <c r="E213" s="104"/>
      <c r="F213" s="105"/>
      <c r="G213" s="106"/>
      <c r="H213" s="95"/>
    </row>
    <row r="214" spans="2:8">
      <c r="B214" s="1"/>
      <c r="C214" s="64"/>
      <c r="D214" s="104"/>
      <c r="E214" s="104"/>
      <c r="F214" s="105"/>
      <c r="G214" s="106"/>
      <c r="H214" s="95"/>
    </row>
    <row r="215" spans="2:8">
      <c r="B215" s="1"/>
      <c r="C215" s="64"/>
      <c r="D215" s="104"/>
      <c r="E215" s="104"/>
      <c r="F215" s="105"/>
      <c r="G215" s="106"/>
      <c r="H215" s="95"/>
    </row>
    <row r="216" spans="2:8">
      <c r="B216" s="1"/>
      <c r="C216" s="64"/>
      <c r="D216" s="104"/>
      <c r="E216" s="104"/>
      <c r="F216" s="105"/>
      <c r="G216" s="106"/>
      <c r="H216" s="95"/>
    </row>
    <row r="217" spans="2:8">
      <c r="B217" s="1"/>
      <c r="C217" s="64"/>
      <c r="D217" s="104"/>
      <c r="E217" s="104"/>
      <c r="F217" s="105"/>
      <c r="G217" s="106"/>
      <c r="H217" s="95"/>
    </row>
    <row r="218" spans="2:8">
      <c r="B218" s="1"/>
      <c r="C218" s="64"/>
      <c r="E218" s="104"/>
      <c r="F218" s="104"/>
      <c r="G218" s="105"/>
      <c r="H218" s="95"/>
    </row>
    <row r="219" spans="2:8">
      <c r="B219" s="1"/>
      <c r="C219" s="64"/>
      <c r="E219" s="104"/>
      <c r="F219" s="104"/>
      <c r="G219" s="105"/>
      <c r="H219" s="95"/>
    </row>
    <row r="220" spans="2:8">
      <c r="B220" s="1"/>
      <c r="C220" s="64"/>
      <c r="E220" s="104"/>
      <c r="F220" s="104"/>
      <c r="G220" s="105"/>
      <c r="H220" s="95"/>
    </row>
    <row r="221" spans="2:8">
      <c r="B221" s="1"/>
      <c r="C221" s="64"/>
      <c r="E221" s="104"/>
      <c r="F221" s="104"/>
      <c r="G221" s="105"/>
      <c r="H221" s="95"/>
    </row>
    <row r="222" spans="2:8">
      <c r="B222" s="1"/>
      <c r="C222" s="64"/>
      <c r="E222" s="104"/>
      <c r="F222" s="104"/>
      <c r="G222" s="105"/>
      <c r="H222" s="95"/>
    </row>
    <row r="223" spans="2:8">
      <c r="B223" s="1"/>
      <c r="C223" s="64"/>
      <c r="E223" s="104"/>
      <c r="F223" s="104"/>
      <c r="G223" s="105"/>
      <c r="H223" s="95"/>
    </row>
    <row r="224" spans="2:8">
      <c r="B224" s="1"/>
      <c r="C224" s="64"/>
      <c r="E224" s="104"/>
      <c r="F224" s="104"/>
      <c r="G224" s="105"/>
      <c r="H224" s="95"/>
    </row>
    <row r="225" spans="2:8">
      <c r="B225" s="1"/>
      <c r="C225" s="64"/>
      <c r="E225" s="104"/>
      <c r="F225" s="104"/>
      <c r="G225" s="105"/>
      <c r="H225" s="95"/>
    </row>
    <row r="226" spans="2:8">
      <c r="B226" s="1"/>
      <c r="C226" s="64"/>
      <c r="E226" s="104"/>
      <c r="F226" s="104"/>
      <c r="G226" s="105"/>
      <c r="H226" s="95"/>
    </row>
    <row r="227" spans="2:8">
      <c r="B227" s="1"/>
      <c r="C227" s="64"/>
      <c r="E227" s="104"/>
      <c r="F227" s="104"/>
      <c r="G227" s="105"/>
      <c r="H227" s="95"/>
    </row>
    <row r="228" spans="2:8">
      <c r="B228" s="1"/>
      <c r="C228" s="64"/>
      <c r="E228" s="104"/>
      <c r="F228" s="104"/>
      <c r="G228" s="105"/>
      <c r="H228" s="95"/>
    </row>
    <row r="229" spans="2:8">
      <c r="B229" s="1"/>
      <c r="C229" s="64"/>
      <c r="E229" s="104"/>
      <c r="F229" s="104"/>
      <c r="G229" s="105"/>
      <c r="H229" s="95"/>
    </row>
    <row r="230" spans="2:8">
      <c r="B230" s="1"/>
      <c r="C230" s="64"/>
      <c r="E230" s="104"/>
      <c r="F230" s="104"/>
      <c r="G230" s="105"/>
      <c r="H230" s="95"/>
    </row>
    <row r="231" spans="2:8">
      <c r="B231" s="1"/>
      <c r="C231" s="64"/>
      <c r="E231" s="104"/>
      <c r="F231" s="104"/>
      <c r="G231" s="105"/>
      <c r="H231" s="95"/>
    </row>
    <row r="232" spans="2:8">
      <c r="B232" s="1"/>
      <c r="C232" s="64"/>
      <c r="E232" s="104"/>
      <c r="F232" s="104"/>
      <c r="G232" s="105"/>
      <c r="H232" s="95"/>
    </row>
    <row r="233" spans="2:8">
      <c r="B233" s="1"/>
      <c r="C233" s="64"/>
      <c r="E233" s="104"/>
      <c r="F233" s="104"/>
      <c r="G233" s="105"/>
      <c r="H233" s="95"/>
    </row>
    <row r="234" spans="2:8">
      <c r="B234" s="1"/>
      <c r="C234" s="64"/>
      <c r="E234" s="104"/>
      <c r="F234" s="104"/>
      <c r="G234" s="105"/>
      <c r="H234" s="95"/>
    </row>
    <row r="235" spans="2:8">
      <c r="B235" s="1"/>
      <c r="C235" s="64"/>
      <c r="E235" s="104"/>
      <c r="F235" s="104"/>
      <c r="G235" s="105"/>
      <c r="H235" s="95"/>
    </row>
    <row r="236" spans="2:8">
      <c r="B236" s="1"/>
      <c r="C236" s="64"/>
      <c r="E236" s="104"/>
      <c r="F236" s="104"/>
      <c r="G236" s="105"/>
      <c r="H236" s="95"/>
    </row>
    <row r="237" spans="2:8">
      <c r="B237" s="1"/>
      <c r="C237" s="64"/>
      <c r="E237" s="104"/>
      <c r="F237" s="104"/>
      <c r="G237" s="105"/>
      <c r="H237" s="95"/>
    </row>
    <row r="238" spans="2:8">
      <c r="B238" s="1"/>
      <c r="C238" s="64"/>
      <c r="E238" s="104"/>
      <c r="F238" s="104"/>
      <c r="G238" s="105"/>
      <c r="H238" s="95"/>
    </row>
    <row r="239" spans="2:8">
      <c r="B239" s="1"/>
      <c r="C239" s="64"/>
      <c r="E239" s="104"/>
      <c r="F239" s="104"/>
      <c r="G239" s="105"/>
      <c r="H239" s="95"/>
    </row>
    <row r="240" spans="2:8">
      <c r="B240" s="1"/>
      <c r="C240" s="64"/>
      <c r="E240" s="104"/>
      <c r="F240" s="104"/>
      <c r="G240" s="105"/>
      <c r="H240" s="95"/>
    </row>
    <row r="241" spans="2:8">
      <c r="B241" s="1"/>
      <c r="C241" s="64"/>
      <c r="E241" s="104"/>
      <c r="F241" s="104"/>
      <c r="G241" s="105"/>
      <c r="H241" s="95"/>
    </row>
    <row r="242" spans="2:8">
      <c r="B242" s="1"/>
      <c r="C242" s="64"/>
      <c r="E242" s="104"/>
      <c r="F242" s="104"/>
      <c r="G242" s="105"/>
      <c r="H242" s="95"/>
    </row>
    <row r="243" spans="2:8">
      <c r="B243" s="1"/>
      <c r="C243" s="64"/>
      <c r="E243" s="104"/>
      <c r="F243" s="104"/>
      <c r="G243" s="105"/>
      <c r="H243" s="95"/>
    </row>
    <row r="244" spans="2:8">
      <c r="B244" s="1"/>
      <c r="C244" s="64"/>
      <c r="E244" s="104"/>
      <c r="F244" s="104"/>
      <c r="G244" s="105"/>
      <c r="H244" s="95"/>
    </row>
    <row r="245" spans="2:8">
      <c r="B245" s="1"/>
      <c r="C245" s="64"/>
      <c r="E245" s="104"/>
      <c r="F245" s="104"/>
      <c r="G245" s="105"/>
      <c r="H245" s="95"/>
    </row>
    <row r="246" spans="2:8">
      <c r="B246" s="1"/>
      <c r="C246" s="64"/>
      <c r="E246" s="104"/>
      <c r="F246" s="104"/>
      <c r="G246" s="105"/>
      <c r="H246" s="95"/>
    </row>
    <row r="247" spans="2:8">
      <c r="B247" s="1"/>
      <c r="C247" s="64"/>
      <c r="E247" s="104"/>
      <c r="F247" s="104"/>
      <c r="G247" s="105"/>
      <c r="H247" s="95"/>
    </row>
    <row r="248" spans="2:8">
      <c r="B248" s="1"/>
      <c r="C248" s="64"/>
      <c r="E248" s="104"/>
      <c r="F248" s="104"/>
      <c r="G248" s="105"/>
      <c r="H248" s="95"/>
    </row>
    <row r="249" spans="2:8">
      <c r="B249" s="1"/>
      <c r="C249" s="64"/>
      <c r="E249" s="104"/>
      <c r="F249" s="104"/>
      <c r="G249" s="105"/>
      <c r="H249" s="95"/>
    </row>
    <row r="250" spans="2:8">
      <c r="B250" s="1"/>
      <c r="C250" s="64"/>
      <c r="E250" s="104"/>
      <c r="F250" s="104"/>
      <c r="G250" s="105"/>
      <c r="H250" s="95"/>
    </row>
    <row r="251" spans="2:8">
      <c r="B251" s="1"/>
      <c r="C251" s="64"/>
      <c r="E251" s="104"/>
      <c r="F251" s="104"/>
      <c r="G251" s="105"/>
      <c r="H251" s="95"/>
    </row>
    <row r="252" spans="2:8">
      <c r="B252" s="1"/>
      <c r="C252" s="64"/>
      <c r="E252" s="104"/>
      <c r="F252" s="104"/>
      <c r="G252" s="105"/>
      <c r="H252" s="95"/>
    </row>
    <row r="253" spans="2:8">
      <c r="B253" s="1"/>
      <c r="C253" s="64"/>
      <c r="E253" s="104"/>
      <c r="F253" s="104"/>
      <c r="G253" s="105"/>
      <c r="H253" s="95"/>
    </row>
    <row r="254" spans="2:8">
      <c r="B254" s="1"/>
      <c r="C254" s="64"/>
      <c r="E254" s="104"/>
      <c r="F254" s="104"/>
      <c r="G254" s="105"/>
      <c r="H254" s="95"/>
    </row>
    <row r="255" spans="2:8">
      <c r="B255" s="1"/>
      <c r="C255" s="64"/>
      <c r="E255" s="104"/>
      <c r="F255" s="104"/>
      <c r="G255" s="105"/>
      <c r="H255" s="95"/>
    </row>
    <row r="256" spans="2:8">
      <c r="B256" s="1"/>
      <c r="C256" s="64"/>
      <c r="E256" s="104"/>
      <c r="F256" s="104"/>
      <c r="G256" s="105"/>
      <c r="H256" s="95"/>
    </row>
    <row r="257" spans="2:8">
      <c r="B257" s="1"/>
      <c r="C257" s="64"/>
      <c r="E257" s="104"/>
      <c r="F257" s="104"/>
      <c r="G257" s="105"/>
      <c r="H257" s="95"/>
    </row>
    <row r="258" spans="2:8">
      <c r="B258" s="1"/>
      <c r="C258" s="64"/>
      <c r="E258" s="104"/>
      <c r="F258" s="104"/>
      <c r="G258" s="105"/>
      <c r="H258" s="95"/>
    </row>
    <row r="259" spans="2:8">
      <c r="B259" s="1"/>
      <c r="C259" s="64"/>
      <c r="E259" s="104"/>
      <c r="F259" s="104"/>
      <c r="G259" s="105"/>
      <c r="H259" s="95"/>
    </row>
    <row r="260" spans="2:8">
      <c r="B260" s="1"/>
      <c r="C260" s="64"/>
      <c r="E260" s="104"/>
      <c r="F260" s="104"/>
      <c r="G260" s="105"/>
      <c r="H260" s="95"/>
    </row>
    <row r="261" spans="2:8">
      <c r="B261" s="1"/>
      <c r="C261" s="64"/>
      <c r="E261" s="104"/>
      <c r="F261" s="104"/>
      <c r="G261" s="105"/>
      <c r="H261" s="95"/>
    </row>
    <row r="262" spans="2:8">
      <c r="B262" s="1"/>
      <c r="C262" s="64"/>
      <c r="E262" s="104"/>
      <c r="F262" s="104"/>
      <c r="G262" s="105"/>
      <c r="H262" s="95"/>
    </row>
    <row r="263" spans="2:8">
      <c r="B263" s="1"/>
      <c r="C263" s="64"/>
      <c r="E263" s="104"/>
      <c r="F263" s="104"/>
      <c r="G263" s="105"/>
      <c r="H263" s="95"/>
    </row>
    <row r="264" spans="2:8">
      <c r="B264" s="1"/>
      <c r="C264" s="64"/>
      <c r="E264" s="104"/>
      <c r="F264" s="104"/>
      <c r="G264" s="105"/>
      <c r="H264" s="95"/>
    </row>
    <row r="265" spans="2:8">
      <c r="B265" s="1"/>
      <c r="C265" s="64"/>
      <c r="E265" s="104"/>
      <c r="F265" s="104"/>
      <c r="G265" s="105"/>
      <c r="H265" s="95"/>
    </row>
    <row r="266" spans="2:8">
      <c r="B266" s="1"/>
      <c r="C266" s="64"/>
      <c r="E266" s="104"/>
      <c r="F266" s="104"/>
      <c r="G266" s="105"/>
      <c r="H266" s="95"/>
    </row>
    <row r="267" spans="2:8">
      <c r="B267" s="1"/>
      <c r="C267" s="64"/>
      <c r="E267" s="104"/>
      <c r="F267" s="104"/>
      <c r="G267" s="105"/>
      <c r="H267" s="95"/>
    </row>
    <row r="268" spans="2:8">
      <c r="B268" s="1"/>
      <c r="C268" s="64"/>
      <c r="E268" s="104"/>
      <c r="F268" s="104"/>
      <c r="G268" s="105"/>
      <c r="H268" s="95"/>
    </row>
    <row r="269" spans="2:8">
      <c r="B269" s="1"/>
      <c r="C269" s="64"/>
      <c r="E269" s="104"/>
      <c r="F269" s="104"/>
      <c r="G269" s="105"/>
      <c r="H269" s="95"/>
    </row>
    <row r="270" spans="2:8">
      <c r="B270" s="1"/>
      <c r="C270" s="64"/>
      <c r="E270" s="104"/>
      <c r="F270" s="104"/>
      <c r="G270" s="105"/>
      <c r="H270" s="95"/>
    </row>
    <row r="271" spans="2:8">
      <c r="B271" s="1"/>
      <c r="C271" s="64"/>
      <c r="E271" s="104"/>
      <c r="F271" s="104"/>
      <c r="G271" s="105"/>
      <c r="H271" s="95"/>
    </row>
    <row r="272" spans="2:8">
      <c r="B272" s="1"/>
      <c r="C272" s="64"/>
      <c r="E272" s="104"/>
      <c r="F272" s="104"/>
      <c r="G272" s="105"/>
      <c r="H272" s="95"/>
    </row>
    <row r="273" spans="2:8">
      <c r="B273" s="1"/>
      <c r="C273" s="64"/>
      <c r="E273" s="104"/>
      <c r="F273" s="104"/>
      <c r="G273" s="105"/>
      <c r="H273" s="95"/>
    </row>
    <row r="274" spans="2:8">
      <c r="B274" s="1"/>
      <c r="C274" s="64"/>
      <c r="E274" s="104"/>
      <c r="F274" s="104"/>
      <c r="G274" s="105"/>
      <c r="H274" s="95"/>
    </row>
    <row r="275" spans="2:8">
      <c r="B275" s="1"/>
      <c r="C275" s="64"/>
      <c r="E275" s="104"/>
      <c r="F275" s="104"/>
      <c r="G275" s="105"/>
      <c r="H275" s="95"/>
    </row>
    <row r="276" spans="2:8">
      <c r="B276" s="1"/>
      <c r="C276" s="64"/>
      <c r="E276" s="104"/>
      <c r="F276" s="104"/>
      <c r="G276" s="105"/>
      <c r="H276" s="95"/>
    </row>
    <row r="277" spans="2:8">
      <c r="B277" s="1"/>
      <c r="C277" s="64"/>
      <c r="E277" s="104"/>
      <c r="F277" s="104"/>
      <c r="G277" s="105"/>
      <c r="H277" s="95"/>
    </row>
    <row r="278" spans="2:8">
      <c r="B278" s="1"/>
      <c r="C278" s="64"/>
      <c r="E278" s="104"/>
      <c r="F278" s="104"/>
      <c r="G278" s="105"/>
      <c r="H278" s="95"/>
    </row>
    <row r="279" spans="2:8">
      <c r="B279" s="1"/>
      <c r="C279" s="64"/>
      <c r="E279" s="104"/>
      <c r="F279" s="104"/>
      <c r="G279" s="105"/>
      <c r="H279" s="95"/>
    </row>
    <row r="280" spans="2:8">
      <c r="B280" s="1"/>
      <c r="C280" s="64"/>
      <c r="E280" s="104"/>
      <c r="F280" s="104"/>
      <c r="G280" s="105"/>
      <c r="H280" s="95"/>
    </row>
    <row r="281" spans="2:8">
      <c r="B281" s="1"/>
      <c r="C281" s="64"/>
      <c r="E281" s="104"/>
      <c r="F281" s="104"/>
      <c r="G281" s="105"/>
      <c r="H281" s="95"/>
    </row>
    <row r="282" spans="2:8">
      <c r="B282" s="1"/>
      <c r="C282" s="64"/>
      <c r="D282" s="105"/>
      <c r="E282" s="104"/>
      <c r="F282" s="104"/>
      <c r="G282" s="104"/>
      <c r="H282" s="95"/>
    </row>
    <row r="283" spans="2:8">
      <c r="B283" s="1"/>
      <c r="C283" s="64"/>
      <c r="D283" s="105"/>
      <c r="E283" s="104"/>
      <c r="F283" s="104"/>
      <c r="G283" s="104"/>
      <c r="H283" s="95"/>
    </row>
    <row r="284" spans="2:8">
      <c r="B284" s="1"/>
      <c r="C284" s="64"/>
      <c r="D284" s="105"/>
      <c r="E284" s="104"/>
      <c r="F284" s="104"/>
      <c r="G284" s="104"/>
      <c r="H284" s="95"/>
    </row>
    <row r="285" spans="2:8">
      <c r="B285" s="1"/>
      <c r="C285" s="64"/>
      <c r="D285" s="105"/>
      <c r="E285" s="104"/>
      <c r="F285" s="104"/>
      <c r="G285" s="104"/>
      <c r="H285" s="95"/>
    </row>
    <row r="286" spans="2:8">
      <c r="B286" s="1"/>
      <c r="C286" s="64"/>
      <c r="D286" s="105"/>
      <c r="E286" s="104"/>
      <c r="F286" s="104"/>
      <c r="G286" s="104"/>
      <c r="H286" s="95"/>
    </row>
    <row r="287" spans="2:8">
      <c r="B287" s="1"/>
      <c r="C287" s="64"/>
      <c r="D287" s="105"/>
      <c r="E287" s="104"/>
      <c r="F287" s="104"/>
      <c r="G287" s="104"/>
      <c r="H287" s="95"/>
    </row>
    <row r="288" spans="2:8">
      <c r="B288" s="1"/>
      <c r="C288" s="64"/>
      <c r="D288" s="105"/>
      <c r="E288" s="104"/>
      <c r="F288" s="104"/>
      <c r="G288" s="104"/>
      <c r="H288" s="95"/>
    </row>
    <row r="289" spans="2:8">
      <c r="B289" s="1"/>
      <c r="C289" s="64"/>
      <c r="D289" s="105"/>
      <c r="E289" s="104"/>
      <c r="F289" s="104"/>
      <c r="G289" s="104"/>
      <c r="H289" s="95"/>
    </row>
    <row r="290" spans="2:8">
      <c r="B290" s="1"/>
      <c r="C290" s="64"/>
      <c r="D290" s="105"/>
      <c r="E290" s="104"/>
      <c r="F290" s="104"/>
      <c r="G290" s="104"/>
      <c r="H290" s="95"/>
    </row>
    <row r="291" spans="2:8">
      <c r="B291" s="1"/>
      <c r="C291" s="64"/>
      <c r="D291" s="105"/>
      <c r="E291" s="104"/>
      <c r="F291" s="104"/>
      <c r="G291" s="104"/>
      <c r="H291" s="95"/>
    </row>
    <row r="292" spans="2:8">
      <c r="B292" s="1"/>
      <c r="C292" s="64"/>
      <c r="D292" s="105"/>
      <c r="E292" s="104"/>
      <c r="F292" s="104"/>
      <c r="G292" s="104"/>
      <c r="H292" s="95"/>
    </row>
    <row r="293" spans="2:8">
      <c r="B293" s="1"/>
      <c r="C293" s="64"/>
      <c r="D293" s="105"/>
      <c r="E293" s="104"/>
      <c r="F293" s="104"/>
      <c r="G293" s="104"/>
      <c r="H293" s="95"/>
    </row>
    <row r="294" spans="2:8">
      <c r="B294" s="1"/>
      <c r="C294" s="64"/>
      <c r="D294" s="105"/>
      <c r="E294" s="104"/>
      <c r="F294" s="104"/>
      <c r="G294" s="104"/>
      <c r="H294" s="95"/>
    </row>
    <row r="295" spans="2:8">
      <c r="B295" s="1"/>
      <c r="C295" s="64"/>
      <c r="D295" s="105"/>
      <c r="E295" s="104"/>
      <c r="F295" s="104"/>
      <c r="G295" s="104"/>
      <c r="H295" s="95"/>
    </row>
    <row r="296" spans="2:8">
      <c r="B296" s="1"/>
      <c r="C296" s="64"/>
      <c r="D296" s="105"/>
      <c r="E296" s="104"/>
      <c r="F296" s="104"/>
      <c r="G296" s="104"/>
      <c r="H296" s="95"/>
    </row>
    <row r="297" spans="2:8">
      <c r="B297" s="1"/>
      <c r="C297" s="64"/>
      <c r="D297" s="105"/>
      <c r="E297" s="104"/>
      <c r="F297" s="104"/>
      <c r="G297" s="104"/>
      <c r="H297" s="95"/>
    </row>
    <row r="298" spans="2:8">
      <c r="B298" s="1"/>
      <c r="C298" s="64"/>
      <c r="D298" s="105"/>
      <c r="E298" s="104"/>
      <c r="F298" s="104"/>
      <c r="G298" s="104"/>
      <c r="H298" s="95"/>
    </row>
    <row r="299" spans="2:8">
      <c r="B299" s="1"/>
      <c r="C299" s="64"/>
      <c r="D299" s="105"/>
      <c r="E299" s="104"/>
      <c r="F299" s="104"/>
      <c r="G299" s="104"/>
      <c r="H299" s="95"/>
    </row>
    <row r="300" spans="2:8">
      <c r="B300" s="1"/>
      <c r="C300" s="64"/>
      <c r="D300" s="105"/>
      <c r="E300" s="104"/>
      <c r="F300" s="104"/>
      <c r="G300" s="104"/>
      <c r="H300" s="95"/>
    </row>
    <row r="301" spans="2:8">
      <c r="B301" s="1"/>
      <c r="C301" s="64"/>
      <c r="D301" s="105"/>
      <c r="E301" s="104"/>
      <c r="F301" s="104"/>
      <c r="G301" s="104"/>
      <c r="H301" s="95"/>
    </row>
    <row r="302" spans="2:8">
      <c r="B302" s="1"/>
      <c r="C302" s="64"/>
      <c r="D302" s="105"/>
      <c r="E302" s="104"/>
      <c r="F302" s="104"/>
      <c r="G302" s="104"/>
      <c r="H302" s="95"/>
    </row>
    <row r="303" spans="2:8">
      <c r="B303" s="1"/>
      <c r="C303" s="64"/>
      <c r="D303" s="105"/>
      <c r="E303" s="104"/>
      <c r="F303" s="104"/>
      <c r="G303" s="104"/>
      <c r="H303" s="95"/>
    </row>
    <row r="304" spans="2:8">
      <c r="B304" s="1"/>
      <c r="C304" s="64"/>
      <c r="D304" s="105"/>
      <c r="E304" s="104"/>
      <c r="F304" s="104"/>
      <c r="G304" s="104"/>
      <c r="H304" s="95"/>
    </row>
    <row r="305" spans="2:8">
      <c r="B305" s="1"/>
      <c r="C305" s="64"/>
      <c r="D305" s="105"/>
      <c r="E305" s="104"/>
      <c r="F305" s="104"/>
      <c r="G305" s="104"/>
      <c r="H305" s="95"/>
    </row>
    <row r="306" spans="2:8">
      <c r="B306" s="1"/>
      <c r="C306" s="64"/>
      <c r="D306" s="105"/>
      <c r="E306" s="104"/>
      <c r="F306" s="104"/>
      <c r="G306" s="104"/>
      <c r="H306" s="95"/>
    </row>
    <row r="307" spans="2:8">
      <c r="B307" s="1"/>
      <c r="C307" s="64"/>
      <c r="D307" s="105"/>
      <c r="E307" s="104"/>
      <c r="F307" s="104"/>
      <c r="G307" s="104"/>
      <c r="H307" s="95"/>
    </row>
    <row r="308" spans="2:8">
      <c r="B308" s="1"/>
      <c r="C308" s="64"/>
      <c r="D308" s="105"/>
      <c r="E308" s="104"/>
      <c r="F308" s="104"/>
      <c r="G308" s="104"/>
      <c r="H308" s="95"/>
    </row>
    <row r="309" spans="2:8">
      <c r="B309" s="1"/>
      <c r="C309" s="64"/>
      <c r="D309" s="105"/>
      <c r="E309" s="104"/>
      <c r="F309" s="104"/>
      <c r="G309" s="104"/>
      <c r="H309" s="95"/>
    </row>
    <row r="310" spans="2:8">
      <c r="B310" s="1"/>
      <c r="C310" s="64"/>
      <c r="D310" s="105"/>
      <c r="E310" s="104"/>
      <c r="F310" s="104"/>
      <c r="G310" s="104"/>
      <c r="H310" s="95"/>
    </row>
    <row r="311" spans="2:8">
      <c r="B311" s="1"/>
      <c r="C311" s="64"/>
      <c r="D311" s="105"/>
      <c r="E311" s="104"/>
      <c r="F311" s="104"/>
      <c r="G311" s="104"/>
      <c r="H311" s="95"/>
    </row>
    <row r="312" spans="2:8">
      <c r="B312" s="1"/>
      <c r="C312" s="64"/>
      <c r="D312" s="105"/>
      <c r="E312" s="104"/>
      <c r="F312" s="104"/>
      <c r="G312" s="104"/>
      <c r="H312" s="95"/>
    </row>
    <row r="313" spans="2:8">
      <c r="B313" s="1"/>
      <c r="C313" s="64"/>
      <c r="D313" s="105"/>
      <c r="E313" s="104"/>
      <c r="F313" s="104"/>
      <c r="G313" s="104"/>
      <c r="H313" s="95"/>
    </row>
    <row r="314" spans="2:8">
      <c r="B314" s="1"/>
      <c r="C314" s="64"/>
      <c r="D314" s="105"/>
      <c r="E314" s="104"/>
      <c r="F314" s="104"/>
      <c r="G314" s="104"/>
      <c r="H314" s="95"/>
    </row>
    <row r="315" spans="2:8">
      <c r="B315" s="1"/>
      <c r="C315" s="64"/>
      <c r="D315" s="105"/>
      <c r="E315" s="104"/>
      <c r="F315" s="104"/>
      <c r="G315" s="104"/>
      <c r="H315" s="95"/>
    </row>
    <row r="316" spans="2:8">
      <c r="B316" s="1"/>
      <c r="C316" s="64"/>
      <c r="D316" s="105"/>
      <c r="E316" s="104"/>
      <c r="F316" s="104"/>
      <c r="G316" s="104"/>
      <c r="H316" s="95"/>
    </row>
    <row r="317" spans="2:8">
      <c r="B317" s="1"/>
      <c r="C317" s="64"/>
      <c r="D317" s="105"/>
      <c r="E317" s="104"/>
      <c r="F317" s="104"/>
      <c r="G317" s="104"/>
      <c r="H317" s="95"/>
    </row>
    <row r="318" spans="2:8">
      <c r="B318" s="1"/>
      <c r="C318" s="64"/>
      <c r="D318" s="105"/>
      <c r="E318" s="104"/>
      <c r="F318" s="104"/>
      <c r="G318" s="104"/>
      <c r="H318" s="95"/>
    </row>
    <row r="319" spans="2:8">
      <c r="B319" s="1"/>
      <c r="C319" s="64"/>
      <c r="D319" s="105"/>
      <c r="E319" s="104"/>
      <c r="F319" s="104"/>
      <c r="G319" s="104"/>
      <c r="H319" s="95"/>
    </row>
    <row r="320" spans="2:8">
      <c r="B320" s="1"/>
      <c r="C320" s="64"/>
      <c r="D320" s="105"/>
      <c r="E320" s="104"/>
      <c r="F320" s="104"/>
      <c r="G320" s="104"/>
      <c r="H320" s="95"/>
    </row>
    <row r="321" spans="2:8">
      <c r="B321" s="1"/>
      <c r="C321" s="64"/>
      <c r="D321" s="105"/>
      <c r="E321" s="104"/>
      <c r="F321" s="104"/>
      <c r="G321" s="104"/>
      <c r="H321" s="95"/>
    </row>
    <row r="322" spans="2:8">
      <c r="B322" s="1"/>
      <c r="C322" s="64"/>
      <c r="D322" s="105"/>
      <c r="E322" s="104"/>
      <c r="F322" s="104"/>
      <c r="G322" s="104"/>
      <c r="H322" s="95"/>
    </row>
    <row r="323" spans="2:8">
      <c r="B323" s="1"/>
      <c r="C323" s="64"/>
      <c r="D323" s="105"/>
      <c r="E323" s="104"/>
      <c r="F323" s="104"/>
      <c r="G323" s="104"/>
      <c r="H323" s="95"/>
    </row>
    <row r="324" spans="2:8">
      <c r="B324" s="1"/>
      <c r="C324" s="64"/>
      <c r="D324" s="105"/>
      <c r="E324" s="104"/>
      <c r="F324" s="104"/>
      <c r="G324" s="104"/>
      <c r="H324" s="95"/>
    </row>
    <row r="325" spans="2:8">
      <c r="B325" s="1"/>
      <c r="C325" s="64"/>
      <c r="D325" s="105"/>
      <c r="E325" s="104"/>
      <c r="F325" s="104"/>
      <c r="G325" s="104"/>
      <c r="H325" s="95"/>
    </row>
    <row r="326" spans="2:8">
      <c r="B326" s="1"/>
      <c r="C326" s="64"/>
      <c r="D326" s="105"/>
      <c r="E326" s="104"/>
      <c r="F326" s="104"/>
      <c r="G326" s="104"/>
      <c r="H326" s="95"/>
    </row>
    <row r="327" spans="2:8">
      <c r="B327" s="1"/>
      <c r="C327" s="64"/>
      <c r="D327" s="105"/>
      <c r="E327" s="104"/>
      <c r="F327" s="104"/>
      <c r="G327" s="104"/>
      <c r="H327" s="95"/>
    </row>
    <row r="328" spans="2:8">
      <c r="B328" s="1"/>
      <c r="C328" s="64"/>
      <c r="D328" s="105"/>
      <c r="E328" s="104"/>
      <c r="F328" s="104"/>
      <c r="G328" s="104"/>
      <c r="H328" s="95"/>
    </row>
    <row r="329" spans="2:8">
      <c r="B329" s="1"/>
      <c r="C329" s="64"/>
      <c r="D329" s="105"/>
      <c r="E329" s="104"/>
      <c r="F329" s="104"/>
      <c r="G329" s="104"/>
      <c r="H329" s="95"/>
    </row>
    <row r="330" spans="2:8">
      <c r="B330" s="1"/>
      <c r="C330" s="64"/>
      <c r="D330" s="105"/>
      <c r="E330" s="104"/>
      <c r="F330" s="104"/>
      <c r="G330" s="104"/>
      <c r="H330" s="95"/>
    </row>
    <row r="331" spans="2:8">
      <c r="B331" s="1"/>
      <c r="C331" s="64"/>
      <c r="D331" s="105"/>
      <c r="E331" s="104"/>
      <c r="F331" s="104"/>
      <c r="G331" s="104"/>
      <c r="H331" s="95"/>
    </row>
    <row r="332" spans="2:8">
      <c r="B332" s="1"/>
      <c r="C332" s="64"/>
      <c r="D332" s="105"/>
      <c r="E332" s="104"/>
      <c r="F332" s="104"/>
      <c r="G332" s="104"/>
      <c r="H332" s="95"/>
    </row>
    <row r="333" spans="2:8">
      <c r="B333" s="1"/>
      <c r="C333" s="64"/>
      <c r="D333" s="105"/>
      <c r="E333" s="104"/>
      <c r="F333" s="104"/>
      <c r="G333" s="104"/>
      <c r="H333" s="95"/>
    </row>
    <row r="334" spans="2:8">
      <c r="B334" s="1"/>
      <c r="C334" s="64"/>
      <c r="D334" s="105"/>
      <c r="E334" s="104"/>
      <c r="F334" s="104"/>
      <c r="G334" s="104"/>
      <c r="H334" s="95"/>
    </row>
    <row r="335" spans="2:8">
      <c r="B335" s="1"/>
      <c r="C335" s="64"/>
      <c r="D335" s="105"/>
      <c r="E335" s="104"/>
      <c r="F335" s="104"/>
      <c r="G335" s="104"/>
      <c r="H335" s="95"/>
    </row>
    <row r="336" spans="2:8">
      <c r="B336" s="1"/>
      <c r="C336" s="64"/>
      <c r="D336" s="105"/>
      <c r="E336" s="104"/>
      <c r="F336" s="104"/>
      <c r="G336" s="104"/>
      <c r="H336" s="95"/>
    </row>
    <row r="337" spans="2:8">
      <c r="B337" s="1"/>
      <c r="C337" s="64"/>
      <c r="D337" s="105"/>
      <c r="E337" s="104"/>
      <c r="F337" s="104"/>
      <c r="G337" s="104"/>
      <c r="H337" s="95"/>
    </row>
    <row r="338" spans="2:8">
      <c r="B338" s="1"/>
      <c r="C338" s="64"/>
      <c r="D338" s="105"/>
      <c r="E338" s="104"/>
      <c r="F338" s="104"/>
      <c r="G338" s="104"/>
      <c r="H338" s="95"/>
    </row>
    <row r="339" spans="2:8">
      <c r="B339" s="1"/>
      <c r="C339" s="64"/>
      <c r="D339" s="105"/>
      <c r="E339" s="104"/>
      <c r="F339" s="104"/>
      <c r="G339" s="104"/>
      <c r="H339" s="95"/>
    </row>
    <row r="340" spans="2:8">
      <c r="B340" s="1"/>
      <c r="C340" s="64"/>
      <c r="D340" s="105"/>
      <c r="E340" s="104"/>
      <c r="F340" s="104"/>
      <c r="G340" s="104"/>
      <c r="H340" s="95"/>
    </row>
    <row r="341" spans="2:8">
      <c r="B341" s="1"/>
      <c r="C341" s="64"/>
      <c r="D341" s="105"/>
      <c r="E341" s="104"/>
      <c r="F341" s="104"/>
      <c r="G341" s="104"/>
      <c r="H341" s="95"/>
    </row>
    <row r="342" spans="2:8">
      <c r="B342" s="1"/>
      <c r="C342" s="64"/>
      <c r="D342" s="105"/>
      <c r="E342" s="104"/>
      <c r="F342" s="104"/>
      <c r="G342" s="104"/>
      <c r="H342" s="95"/>
    </row>
    <row r="343" spans="2:8">
      <c r="B343" s="1"/>
      <c r="C343" s="64"/>
      <c r="D343" s="105"/>
      <c r="E343" s="104"/>
      <c r="F343" s="104"/>
      <c r="G343" s="104"/>
      <c r="H343" s="95"/>
    </row>
    <row r="344" spans="2:8">
      <c r="B344" s="1"/>
      <c r="C344" s="64"/>
      <c r="D344" s="105"/>
      <c r="E344" s="104"/>
      <c r="F344" s="104"/>
      <c r="G344" s="104"/>
      <c r="H344" s="95"/>
    </row>
    <row r="345" spans="2:8">
      <c r="B345" s="1"/>
      <c r="C345" s="64"/>
      <c r="D345" s="105"/>
      <c r="E345" s="104"/>
      <c r="F345" s="104"/>
      <c r="G345" s="104"/>
      <c r="H345" s="95"/>
    </row>
    <row r="346" spans="2:8">
      <c r="B346" s="1"/>
      <c r="C346" s="64"/>
      <c r="D346" s="105"/>
      <c r="E346" s="104"/>
      <c r="F346" s="104"/>
      <c r="G346" s="104"/>
      <c r="H346" s="95"/>
    </row>
    <row r="347" spans="2:8">
      <c r="B347" s="1"/>
      <c r="C347" s="64"/>
      <c r="D347" s="105"/>
      <c r="E347" s="104"/>
      <c r="F347" s="104"/>
      <c r="G347" s="104"/>
      <c r="H347" s="95"/>
    </row>
    <row r="348" spans="2:8">
      <c r="B348" s="1"/>
      <c r="C348" s="64"/>
      <c r="D348" s="105"/>
      <c r="E348" s="104"/>
      <c r="F348" s="104"/>
      <c r="G348" s="104"/>
      <c r="H348" s="95"/>
    </row>
    <row r="349" spans="2:8">
      <c r="B349" s="1"/>
      <c r="C349" s="64"/>
      <c r="D349" s="105"/>
      <c r="E349" s="104"/>
      <c r="F349" s="104"/>
      <c r="G349" s="104"/>
      <c r="H349" s="95"/>
    </row>
    <row r="350" spans="2:8">
      <c r="B350" s="1"/>
      <c r="C350" s="64"/>
      <c r="D350" s="105"/>
      <c r="E350" s="104"/>
      <c r="F350" s="104"/>
      <c r="G350" s="104"/>
      <c r="H350" s="95"/>
    </row>
    <row r="351" spans="2:8">
      <c r="B351" s="1"/>
      <c r="C351" s="64"/>
      <c r="D351" s="105"/>
      <c r="E351" s="104"/>
      <c r="F351" s="104"/>
      <c r="G351" s="104"/>
      <c r="H351" s="95"/>
    </row>
    <row r="352" spans="2:8">
      <c r="B352" s="1"/>
      <c r="C352" s="64"/>
      <c r="D352" s="105"/>
      <c r="E352" s="104"/>
      <c r="F352" s="104"/>
      <c r="G352" s="104"/>
      <c r="H352" s="95"/>
    </row>
    <row r="353" spans="2:8">
      <c r="B353" s="1"/>
      <c r="C353" s="64"/>
      <c r="D353" s="105"/>
      <c r="E353" s="104"/>
      <c r="F353" s="104"/>
      <c r="G353" s="104"/>
      <c r="H353" s="95"/>
    </row>
    <row r="354" spans="2:8">
      <c r="B354" s="1"/>
      <c r="C354" s="64"/>
      <c r="D354" s="105"/>
      <c r="E354" s="104"/>
      <c r="F354" s="104"/>
      <c r="G354" s="104"/>
      <c r="H354" s="95"/>
    </row>
    <row r="355" spans="2:8">
      <c r="B355" s="1"/>
      <c r="C355" s="64"/>
      <c r="D355" s="105"/>
      <c r="E355" s="104"/>
      <c r="F355" s="104"/>
      <c r="G355" s="104"/>
      <c r="H355" s="95"/>
    </row>
    <row r="356" spans="2:8">
      <c r="B356" s="1"/>
      <c r="C356" s="64"/>
      <c r="D356" s="105"/>
      <c r="E356" s="104"/>
      <c r="F356" s="104"/>
      <c r="G356" s="104"/>
      <c r="H356" s="95"/>
    </row>
    <row r="357" spans="2:8">
      <c r="B357" s="1"/>
      <c r="C357" s="64"/>
      <c r="D357" s="105"/>
      <c r="E357" s="104"/>
      <c r="F357" s="104"/>
      <c r="G357" s="104"/>
      <c r="H357" s="95"/>
    </row>
    <row r="358" spans="2:8">
      <c r="B358" s="1"/>
      <c r="C358" s="64"/>
      <c r="D358" s="105"/>
      <c r="E358" s="104"/>
      <c r="F358" s="104"/>
      <c r="G358" s="104"/>
      <c r="H358" s="95"/>
    </row>
    <row r="359" spans="2:8">
      <c r="B359" s="1"/>
      <c r="C359" s="64"/>
      <c r="D359" s="105"/>
      <c r="E359" s="104"/>
      <c r="F359" s="104"/>
      <c r="G359" s="104"/>
      <c r="H359" s="95"/>
    </row>
    <row r="360" spans="2:8">
      <c r="B360" s="1"/>
      <c r="C360" s="64"/>
      <c r="D360" s="105"/>
      <c r="E360" s="104"/>
      <c r="F360" s="104"/>
      <c r="G360" s="104"/>
      <c r="H360" s="95"/>
    </row>
    <row r="361" spans="2:8">
      <c r="B361" s="1"/>
      <c r="C361" s="64"/>
      <c r="D361" s="105"/>
      <c r="E361" s="104"/>
      <c r="F361" s="104"/>
      <c r="G361" s="104"/>
      <c r="H361" s="95"/>
    </row>
    <row r="362" spans="2:8">
      <c r="B362" s="1"/>
      <c r="C362" s="64"/>
      <c r="D362" s="105"/>
      <c r="E362" s="104"/>
      <c r="F362" s="104"/>
      <c r="G362" s="104"/>
      <c r="H362" s="95"/>
    </row>
    <row r="363" spans="2:8">
      <c r="B363" s="1"/>
      <c r="C363" s="64"/>
      <c r="D363" s="105"/>
      <c r="E363" s="104"/>
      <c r="F363" s="104"/>
      <c r="G363" s="104"/>
      <c r="H363" s="95"/>
    </row>
    <row r="364" spans="2:8">
      <c r="B364" s="1"/>
      <c r="C364" s="64"/>
      <c r="D364" s="105"/>
      <c r="E364" s="104"/>
      <c r="F364" s="104"/>
      <c r="G364" s="104"/>
      <c r="H364" s="95"/>
    </row>
    <row r="365" spans="2:8">
      <c r="B365" s="1"/>
      <c r="C365" s="64"/>
      <c r="D365" s="105"/>
      <c r="E365" s="104"/>
      <c r="F365" s="104"/>
      <c r="G365" s="104"/>
      <c r="H365" s="95"/>
    </row>
    <row r="366" spans="2:8">
      <c r="B366" s="1"/>
      <c r="C366" s="64"/>
      <c r="D366" s="105"/>
      <c r="E366" s="104"/>
      <c r="F366" s="104"/>
      <c r="G366" s="104"/>
      <c r="H366" s="95"/>
    </row>
    <row r="367" spans="2:8">
      <c r="B367" s="1"/>
      <c r="C367" s="64"/>
      <c r="D367" s="105"/>
      <c r="E367" s="104"/>
      <c r="F367" s="104"/>
      <c r="G367" s="104"/>
      <c r="H367" s="95"/>
    </row>
    <row r="368" spans="2:8">
      <c r="B368" s="1"/>
      <c r="C368" s="64"/>
      <c r="D368" s="105"/>
      <c r="E368" s="104"/>
      <c r="F368" s="104"/>
      <c r="G368" s="104"/>
      <c r="H368" s="95"/>
    </row>
    <row r="369" spans="2:8">
      <c r="B369" s="1"/>
      <c r="C369" s="64"/>
      <c r="D369" s="105"/>
      <c r="E369" s="104"/>
      <c r="F369" s="104"/>
      <c r="G369" s="104"/>
      <c r="H369" s="95"/>
    </row>
    <row r="370" spans="2:8">
      <c r="B370" s="1"/>
      <c r="C370" s="64"/>
      <c r="D370" s="105"/>
      <c r="E370" s="104"/>
      <c r="F370" s="104"/>
      <c r="G370" s="104"/>
      <c r="H370" s="95"/>
    </row>
    <row r="371" spans="2:8">
      <c r="B371" s="1"/>
      <c r="C371" s="64"/>
      <c r="D371" s="105"/>
      <c r="E371" s="104"/>
      <c r="F371" s="104"/>
      <c r="G371" s="104"/>
      <c r="H371" s="95"/>
    </row>
    <row r="372" spans="2:8">
      <c r="B372" s="1"/>
      <c r="C372" s="64"/>
      <c r="D372" s="105"/>
      <c r="E372" s="104"/>
      <c r="F372" s="104"/>
      <c r="G372" s="104"/>
      <c r="H372" s="95"/>
    </row>
    <row r="373" spans="2:8">
      <c r="B373" s="1"/>
      <c r="C373" s="64"/>
      <c r="D373" s="105"/>
      <c r="E373" s="104"/>
      <c r="F373" s="104"/>
      <c r="G373" s="104"/>
      <c r="H373" s="95"/>
    </row>
    <row r="374" spans="2:8">
      <c r="B374" s="1"/>
      <c r="C374" s="64"/>
      <c r="D374" s="105"/>
      <c r="E374" s="104"/>
      <c r="F374" s="104"/>
      <c r="G374" s="104"/>
      <c r="H374" s="95"/>
    </row>
    <row r="375" spans="2:8">
      <c r="B375" s="1"/>
      <c r="C375" s="64"/>
      <c r="D375" s="105"/>
      <c r="E375" s="104"/>
      <c r="F375" s="104"/>
      <c r="G375" s="104"/>
      <c r="H375" s="95"/>
    </row>
    <row r="376" spans="2:8">
      <c r="B376" s="1"/>
      <c r="C376" s="64"/>
      <c r="D376" s="105"/>
      <c r="E376" s="104"/>
      <c r="F376" s="104"/>
      <c r="G376" s="104"/>
      <c r="H376" s="95"/>
    </row>
    <row r="377" spans="2:8">
      <c r="B377" s="1"/>
      <c r="C377" s="64"/>
      <c r="D377" s="105"/>
      <c r="E377" s="104"/>
      <c r="F377" s="104"/>
      <c r="G377" s="104"/>
      <c r="H377" s="95"/>
    </row>
    <row r="378" spans="2:8">
      <c r="B378" s="1"/>
      <c r="C378" s="64"/>
      <c r="D378" s="105"/>
      <c r="E378" s="104"/>
      <c r="F378" s="104"/>
      <c r="G378" s="104"/>
      <c r="H378" s="95"/>
    </row>
    <row r="379" spans="2:8">
      <c r="B379" s="1"/>
      <c r="C379" s="64"/>
      <c r="D379" s="105"/>
      <c r="E379" s="104"/>
      <c r="F379" s="104"/>
      <c r="G379" s="104"/>
      <c r="H379" s="95"/>
    </row>
    <row r="380" spans="2:8">
      <c r="B380" s="1"/>
      <c r="C380" s="64"/>
      <c r="D380" s="105"/>
      <c r="E380" s="104"/>
      <c r="F380" s="104"/>
      <c r="G380" s="104"/>
      <c r="H380" s="95"/>
    </row>
    <row r="381" spans="2:8">
      <c r="B381" s="1"/>
      <c r="C381" s="64"/>
      <c r="D381" s="105"/>
      <c r="E381" s="104"/>
      <c r="F381" s="104"/>
      <c r="G381" s="104"/>
      <c r="H381" s="95"/>
    </row>
    <row r="382" spans="2:8">
      <c r="B382" s="1"/>
      <c r="C382" s="64"/>
      <c r="D382" s="105"/>
      <c r="E382" s="104"/>
      <c r="F382" s="104"/>
      <c r="G382" s="104"/>
      <c r="H382" s="95"/>
    </row>
    <row r="383" spans="2:8">
      <c r="B383" s="1"/>
      <c r="C383" s="64"/>
      <c r="D383" s="105"/>
      <c r="E383" s="104"/>
      <c r="F383" s="104"/>
      <c r="G383" s="104"/>
      <c r="H383" s="95"/>
    </row>
    <row r="384" spans="2:8">
      <c r="B384" s="1"/>
      <c r="C384" s="64"/>
      <c r="D384" s="105"/>
      <c r="E384" s="104"/>
      <c r="F384" s="104"/>
      <c r="G384" s="104"/>
      <c r="H384" s="95"/>
    </row>
    <row r="385" spans="2:8">
      <c r="B385" s="1"/>
      <c r="C385" s="64"/>
      <c r="D385" s="105"/>
      <c r="E385" s="104"/>
      <c r="F385" s="104"/>
      <c r="G385" s="104"/>
      <c r="H385" s="95"/>
    </row>
    <row r="386" spans="2:8">
      <c r="B386" s="1"/>
      <c r="C386" s="64"/>
      <c r="D386" s="105"/>
      <c r="E386" s="104"/>
      <c r="F386" s="104"/>
      <c r="G386" s="104"/>
      <c r="H386" s="95"/>
    </row>
    <row r="387" spans="2:8">
      <c r="B387" s="1"/>
      <c r="C387" s="64"/>
      <c r="D387" s="105"/>
      <c r="E387" s="104"/>
      <c r="F387" s="104"/>
      <c r="G387" s="104"/>
      <c r="H387" s="95"/>
    </row>
    <row r="388" spans="2:8">
      <c r="B388" s="1"/>
      <c r="C388" s="64"/>
      <c r="D388" s="105"/>
      <c r="E388" s="104"/>
      <c r="F388" s="104"/>
      <c r="G388" s="104"/>
      <c r="H388" s="95"/>
    </row>
    <row r="389" spans="2:8">
      <c r="B389" s="1"/>
      <c r="C389" s="64"/>
      <c r="D389" s="105"/>
      <c r="E389" s="104"/>
      <c r="F389" s="104"/>
      <c r="G389" s="104"/>
      <c r="H389" s="95"/>
    </row>
    <row r="390" spans="2:8">
      <c r="B390" s="1"/>
      <c r="C390" s="64"/>
      <c r="D390" s="105"/>
      <c r="E390" s="104"/>
      <c r="F390" s="104"/>
      <c r="G390" s="104"/>
      <c r="H390" s="95"/>
    </row>
    <row r="391" spans="2:8">
      <c r="B391" s="1"/>
      <c r="C391" s="64"/>
      <c r="D391" s="105"/>
      <c r="E391" s="104"/>
      <c r="F391" s="104"/>
      <c r="G391" s="104"/>
      <c r="H391" s="95"/>
    </row>
    <row r="392" spans="2:8">
      <c r="B392" s="1"/>
      <c r="C392" s="64"/>
      <c r="D392" s="105"/>
      <c r="E392" s="104"/>
      <c r="F392" s="104"/>
      <c r="G392" s="104"/>
      <c r="H392" s="95"/>
    </row>
    <row r="393" spans="2:8">
      <c r="B393" s="1"/>
      <c r="C393" s="64"/>
      <c r="D393" s="105"/>
      <c r="E393" s="104"/>
      <c r="F393" s="104"/>
      <c r="G393" s="104"/>
      <c r="H393" s="95"/>
    </row>
    <row r="394" spans="2:8">
      <c r="B394" s="1"/>
      <c r="C394" s="64"/>
      <c r="D394" s="105"/>
      <c r="E394" s="104"/>
      <c r="F394" s="104"/>
      <c r="G394" s="104"/>
      <c r="H394" s="95"/>
    </row>
    <row r="395" spans="2:8">
      <c r="B395" s="1"/>
      <c r="C395" s="64"/>
      <c r="D395" s="105"/>
      <c r="E395" s="104"/>
      <c r="F395" s="104"/>
      <c r="G395" s="104"/>
      <c r="H395" s="95"/>
    </row>
    <row r="396" spans="2:8">
      <c r="B396" s="1"/>
      <c r="C396" s="64"/>
      <c r="D396" s="105"/>
      <c r="E396" s="104"/>
      <c r="F396" s="104"/>
      <c r="G396" s="104"/>
      <c r="H396" s="95"/>
    </row>
    <row r="397" spans="2:8">
      <c r="B397" s="1"/>
      <c r="C397" s="64"/>
      <c r="D397" s="105"/>
      <c r="E397" s="104"/>
      <c r="F397" s="104"/>
      <c r="G397" s="104"/>
      <c r="H397" s="95"/>
    </row>
    <row r="398" spans="2:8">
      <c r="B398" s="1"/>
      <c r="C398" s="64"/>
      <c r="D398" s="105"/>
      <c r="E398" s="104"/>
      <c r="F398" s="104"/>
      <c r="G398" s="104"/>
      <c r="H398" s="95"/>
    </row>
    <row r="399" spans="2:8">
      <c r="B399" s="1"/>
      <c r="C399" s="64"/>
      <c r="D399" s="105"/>
      <c r="E399" s="104"/>
      <c r="F399" s="104"/>
      <c r="G399" s="104"/>
      <c r="H399" s="95"/>
    </row>
    <row r="400" spans="2:8">
      <c r="B400" s="1"/>
      <c r="C400" s="64"/>
      <c r="D400" s="105"/>
      <c r="E400" s="104"/>
      <c r="F400" s="104"/>
      <c r="G400" s="104"/>
      <c r="H400" s="95"/>
    </row>
    <row r="401" spans="2:8">
      <c r="B401" s="1"/>
      <c r="C401" s="64"/>
      <c r="D401" s="105"/>
      <c r="E401" s="104"/>
      <c r="F401" s="104"/>
      <c r="G401" s="104"/>
      <c r="H401" s="95"/>
    </row>
    <row r="402" spans="2:8">
      <c r="B402" s="1"/>
      <c r="C402" s="64"/>
      <c r="D402" s="105"/>
      <c r="E402" s="104"/>
      <c r="F402" s="104"/>
      <c r="G402" s="104"/>
      <c r="H402" s="95"/>
    </row>
    <row r="403" spans="2:8">
      <c r="B403" s="1"/>
      <c r="C403" s="64"/>
      <c r="D403" s="105"/>
      <c r="E403" s="104"/>
      <c r="F403" s="104"/>
      <c r="G403" s="104"/>
      <c r="H403" s="95"/>
    </row>
    <row r="404" spans="2:8">
      <c r="B404" s="1"/>
      <c r="C404" s="64"/>
      <c r="D404" s="105"/>
      <c r="E404" s="104"/>
      <c r="F404" s="104"/>
      <c r="G404" s="104"/>
      <c r="H404" s="95"/>
    </row>
    <row r="405" spans="2:8">
      <c r="B405" s="1"/>
      <c r="C405" s="64"/>
      <c r="D405" s="105"/>
      <c r="E405" s="104"/>
      <c r="F405" s="104"/>
      <c r="G405" s="104"/>
      <c r="H405" s="95"/>
    </row>
    <row r="406" spans="2:8">
      <c r="B406" s="1"/>
      <c r="C406" s="64"/>
      <c r="D406" s="105"/>
      <c r="E406" s="104"/>
      <c r="F406" s="104"/>
      <c r="G406" s="104"/>
      <c r="H406" s="95"/>
    </row>
    <row r="407" spans="2:8">
      <c r="B407" s="1"/>
      <c r="C407" s="64"/>
      <c r="D407" s="105"/>
      <c r="E407" s="104"/>
      <c r="F407" s="104"/>
      <c r="G407" s="104"/>
      <c r="H407" s="95"/>
    </row>
    <row r="408" spans="2:8">
      <c r="B408" s="1"/>
      <c r="C408" s="64"/>
      <c r="D408" s="105"/>
      <c r="E408" s="104"/>
      <c r="F408" s="104"/>
      <c r="G408" s="104"/>
      <c r="H408" s="95"/>
    </row>
    <row r="409" spans="2:8">
      <c r="B409" s="1"/>
      <c r="C409" s="64"/>
      <c r="D409" s="105"/>
      <c r="E409" s="104"/>
      <c r="F409" s="104"/>
      <c r="G409" s="104"/>
      <c r="H409" s="95"/>
    </row>
    <row r="410" spans="2:8">
      <c r="B410" s="1"/>
      <c r="C410" s="64"/>
      <c r="D410" s="105"/>
      <c r="E410" s="104"/>
      <c r="F410" s="104"/>
      <c r="G410" s="104"/>
      <c r="H410" s="95"/>
    </row>
    <row r="411" spans="2:8">
      <c r="B411" s="1"/>
      <c r="C411" s="64"/>
      <c r="D411" s="105"/>
      <c r="E411" s="104"/>
      <c r="F411" s="104"/>
      <c r="G411" s="104"/>
      <c r="H411" s="95"/>
    </row>
    <row r="412" spans="2:8">
      <c r="B412" s="1"/>
      <c r="C412" s="64"/>
      <c r="D412" s="105"/>
      <c r="E412" s="104"/>
      <c r="F412" s="104"/>
      <c r="G412" s="104"/>
      <c r="H412" s="95"/>
    </row>
    <row r="413" spans="2:8">
      <c r="B413" s="1"/>
      <c r="C413" s="64"/>
      <c r="D413" s="105"/>
      <c r="E413" s="104"/>
      <c r="F413" s="104"/>
      <c r="G413" s="104"/>
      <c r="H413" s="95"/>
    </row>
    <row r="414" spans="2:8">
      <c r="B414" s="1"/>
      <c r="C414" s="64"/>
      <c r="D414" s="105"/>
      <c r="E414" s="104"/>
      <c r="F414" s="104"/>
      <c r="G414" s="104"/>
      <c r="H414" s="95"/>
    </row>
    <row r="415" spans="2:8">
      <c r="B415" s="1"/>
      <c r="C415" s="64"/>
      <c r="D415" s="105"/>
      <c r="E415" s="104"/>
      <c r="F415" s="104"/>
      <c r="G415" s="104"/>
      <c r="H415" s="95"/>
    </row>
    <row r="416" spans="2:8">
      <c r="B416" s="1"/>
      <c r="C416" s="64"/>
      <c r="D416" s="105"/>
      <c r="E416" s="104"/>
      <c r="F416" s="104"/>
      <c r="G416" s="104"/>
      <c r="H416" s="95"/>
    </row>
    <row r="417" spans="2:8">
      <c r="B417" s="1"/>
      <c r="C417" s="64"/>
      <c r="D417" s="105"/>
      <c r="E417" s="104"/>
      <c r="F417" s="104"/>
      <c r="G417" s="104"/>
      <c r="H417" s="95"/>
    </row>
    <row r="418" spans="2:8">
      <c r="B418" s="1"/>
      <c r="C418" s="64"/>
      <c r="D418" s="105"/>
      <c r="E418" s="104"/>
      <c r="F418" s="104"/>
      <c r="G418" s="104"/>
      <c r="H418" s="95"/>
    </row>
    <row r="419" spans="2:8">
      <c r="B419" s="1"/>
      <c r="C419" s="64"/>
      <c r="D419" s="105"/>
      <c r="E419" s="104"/>
      <c r="F419" s="104"/>
      <c r="G419" s="104"/>
      <c r="H419" s="95"/>
    </row>
    <row r="420" spans="2:8">
      <c r="B420" s="1"/>
      <c r="C420" s="64"/>
      <c r="D420" s="105"/>
      <c r="E420" s="104"/>
      <c r="F420" s="104"/>
      <c r="G420" s="104"/>
      <c r="H420" s="95"/>
    </row>
    <row r="421" spans="2:8">
      <c r="B421" s="1"/>
      <c r="C421" s="64"/>
      <c r="D421" s="105"/>
      <c r="E421" s="104"/>
      <c r="F421" s="104"/>
      <c r="G421" s="104"/>
      <c r="H421" s="95"/>
    </row>
    <row r="422" spans="2:8">
      <c r="B422" s="1"/>
      <c r="C422" s="64"/>
      <c r="D422" s="105"/>
      <c r="E422" s="104"/>
      <c r="F422" s="104"/>
      <c r="G422" s="104"/>
      <c r="H422" s="95"/>
    </row>
    <row r="423" spans="2:8">
      <c r="B423" s="1"/>
      <c r="C423" s="64"/>
      <c r="D423" s="105"/>
      <c r="E423" s="104"/>
      <c r="F423" s="104"/>
      <c r="G423" s="104"/>
      <c r="H423" s="95"/>
    </row>
    <row r="424" spans="2:8">
      <c r="B424" s="1"/>
      <c r="C424" s="64"/>
      <c r="D424" s="105"/>
      <c r="E424" s="104"/>
      <c r="F424" s="104"/>
      <c r="G424" s="104"/>
      <c r="H424" s="95"/>
    </row>
    <row r="425" spans="2:8">
      <c r="B425" s="1"/>
      <c r="C425" s="64"/>
      <c r="D425" s="105"/>
      <c r="E425" s="104"/>
      <c r="F425" s="104"/>
      <c r="G425" s="104"/>
      <c r="H425" s="95"/>
    </row>
    <row r="426" spans="2:8">
      <c r="B426" s="1"/>
      <c r="C426" s="64"/>
      <c r="D426" s="105"/>
      <c r="E426" s="104"/>
      <c r="F426" s="104"/>
      <c r="G426" s="104"/>
      <c r="H426" s="95"/>
    </row>
    <row r="427" spans="2:8">
      <c r="B427" s="1"/>
      <c r="C427" s="64"/>
      <c r="D427" s="105"/>
      <c r="E427" s="104"/>
      <c r="F427" s="104"/>
      <c r="G427" s="104"/>
      <c r="H427" s="95"/>
    </row>
    <row r="428" spans="2:8">
      <c r="B428" s="1"/>
      <c r="C428" s="64"/>
      <c r="D428" s="105"/>
      <c r="E428" s="104"/>
      <c r="F428" s="104"/>
      <c r="G428" s="104"/>
      <c r="H428" s="95"/>
    </row>
    <row r="429" spans="2:8">
      <c r="B429" s="1"/>
      <c r="C429" s="64"/>
      <c r="D429" s="105"/>
      <c r="E429" s="104"/>
      <c r="F429" s="104"/>
      <c r="G429" s="104"/>
      <c r="H429" s="95"/>
    </row>
    <row r="430" spans="2:8">
      <c r="B430" s="1"/>
      <c r="C430" s="64"/>
      <c r="D430" s="105"/>
      <c r="E430" s="104"/>
      <c r="F430" s="104"/>
      <c r="G430" s="104"/>
      <c r="H430" s="95"/>
    </row>
    <row r="431" spans="2:8">
      <c r="B431" s="1"/>
      <c r="C431" s="64"/>
      <c r="D431" s="105"/>
      <c r="E431" s="104"/>
      <c r="F431" s="104"/>
      <c r="G431" s="104"/>
      <c r="H431" s="95"/>
    </row>
    <row r="432" spans="2:8">
      <c r="B432" s="1"/>
      <c r="C432" s="64"/>
      <c r="D432" s="105"/>
      <c r="E432" s="104"/>
      <c r="F432" s="104"/>
      <c r="G432" s="104"/>
      <c r="H432" s="95"/>
    </row>
    <row r="433" spans="2:8">
      <c r="B433" s="1"/>
      <c r="C433" s="64"/>
      <c r="D433" s="105"/>
      <c r="E433" s="104"/>
      <c r="F433" s="104"/>
      <c r="G433" s="104"/>
      <c r="H433" s="95"/>
    </row>
    <row r="434" spans="2:8">
      <c r="B434" s="1"/>
      <c r="C434" s="64"/>
      <c r="D434" s="105"/>
      <c r="E434" s="104"/>
      <c r="F434" s="104"/>
      <c r="G434" s="104"/>
      <c r="H434" s="95"/>
    </row>
    <row r="435" spans="2:8">
      <c r="B435" s="1"/>
      <c r="C435" s="64"/>
      <c r="D435" s="105"/>
      <c r="E435" s="104"/>
      <c r="F435" s="104"/>
      <c r="G435" s="104"/>
      <c r="H435" s="95"/>
    </row>
    <row r="436" spans="2:8">
      <c r="B436" s="1"/>
      <c r="C436" s="64"/>
      <c r="D436" s="105"/>
      <c r="E436" s="104"/>
      <c r="F436" s="104"/>
      <c r="G436" s="104"/>
      <c r="H436" s="95"/>
    </row>
    <row r="437" spans="2:8">
      <c r="B437" s="1"/>
      <c r="C437" s="64"/>
      <c r="D437" s="105"/>
      <c r="E437" s="104"/>
      <c r="F437" s="104"/>
      <c r="G437" s="104"/>
      <c r="H437" s="95"/>
    </row>
    <row r="438" spans="2:8">
      <c r="B438" s="1"/>
      <c r="C438" s="64"/>
      <c r="D438" s="105"/>
      <c r="E438" s="104"/>
      <c r="F438" s="104"/>
      <c r="G438" s="104"/>
      <c r="H438" s="95"/>
    </row>
    <row r="439" spans="2:8">
      <c r="B439" s="1"/>
      <c r="C439" s="64"/>
      <c r="D439" s="105"/>
      <c r="E439" s="104"/>
      <c r="F439" s="104"/>
      <c r="G439" s="104"/>
      <c r="H439" s="95"/>
    </row>
    <row r="440" spans="2:8">
      <c r="B440" s="1"/>
      <c r="C440" s="64"/>
      <c r="D440" s="105"/>
      <c r="E440" s="104"/>
      <c r="F440" s="104"/>
      <c r="G440" s="104"/>
      <c r="H440" s="95"/>
    </row>
    <row r="441" spans="2:8">
      <c r="B441" s="1"/>
      <c r="C441" s="64"/>
      <c r="D441" s="105"/>
      <c r="E441" s="104"/>
      <c r="F441" s="104"/>
      <c r="G441" s="104"/>
      <c r="H441" s="95"/>
    </row>
    <row r="442" spans="2:8">
      <c r="B442" s="1"/>
      <c r="C442" s="64"/>
      <c r="D442" s="105"/>
      <c r="E442" s="104"/>
      <c r="F442" s="104"/>
      <c r="G442" s="104"/>
      <c r="H442" s="95"/>
    </row>
    <row r="443" spans="2:8">
      <c r="B443" s="1"/>
      <c r="C443" s="64"/>
      <c r="D443" s="105"/>
      <c r="E443" s="104"/>
      <c r="F443" s="104"/>
      <c r="G443" s="104"/>
      <c r="H443" s="95"/>
    </row>
    <row r="444" spans="2:8">
      <c r="B444" s="1"/>
      <c r="C444" s="64"/>
      <c r="D444" s="105"/>
      <c r="E444" s="104"/>
      <c r="F444" s="104"/>
      <c r="G444" s="104"/>
      <c r="H444" s="95"/>
    </row>
    <row r="445" spans="2:8">
      <c r="B445" s="1"/>
      <c r="C445" s="64"/>
      <c r="D445" s="105"/>
      <c r="E445" s="104"/>
      <c r="F445" s="104"/>
      <c r="G445" s="104"/>
      <c r="H445" s="95"/>
    </row>
    <row r="446" spans="2:8">
      <c r="B446" s="1"/>
      <c r="C446" s="64"/>
      <c r="D446" s="105"/>
      <c r="E446" s="104"/>
      <c r="F446" s="104"/>
      <c r="G446" s="104"/>
      <c r="H446" s="95"/>
    </row>
    <row r="447" spans="2:8">
      <c r="B447" s="1"/>
      <c r="C447" s="64"/>
      <c r="D447" s="105"/>
      <c r="E447" s="104"/>
      <c r="F447" s="104"/>
      <c r="G447" s="104"/>
      <c r="H447" s="95"/>
    </row>
    <row r="448" spans="2:8">
      <c r="B448" s="1"/>
      <c r="C448" s="64"/>
      <c r="D448" s="105"/>
      <c r="E448" s="104"/>
      <c r="F448" s="104"/>
      <c r="G448" s="104"/>
      <c r="H448" s="95"/>
    </row>
    <row r="449" spans="2:8">
      <c r="B449" s="1"/>
      <c r="C449" s="64"/>
      <c r="D449" s="105"/>
      <c r="E449" s="104"/>
      <c r="F449" s="104"/>
      <c r="G449" s="104"/>
      <c r="H449" s="95"/>
    </row>
    <row r="450" spans="2:8">
      <c r="B450" s="1"/>
      <c r="C450" s="64"/>
      <c r="D450" s="105"/>
      <c r="E450" s="104"/>
      <c r="F450" s="104"/>
      <c r="G450" s="104"/>
      <c r="H450" s="95"/>
    </row>
    <row r="451" spans="2:8">
      <c r="B451" s="1"/>
      <c r="C451" s="64"/>
      <c r="D451" s="105"/>
      <c r="E451" s="104"/>
      <c r="F451" s="104"/>
      <c r="G451" s="104"/>
      <c r="H451" s="95"/>
    </row>
    <row r="452" spans="2:8">
      <c r="B452" s="1"/>
      <c r="C452" s="64"/>
      <c r="D452" s="105"/>
      <c r="E452" s="104"/>
      <c r="F452" s="104"/>
      <c r="G452" s="104"/>
      <c r="H452" s="95"/>
    </row>
    <row r="453" spans="2:8">
      <c r="B453" s="1"/>
      <c r="C453" s="64"/>
      <c r="D453" s="105"/>
      <c r="E453" s="104"/>
      <c r="F453" s="104"/>
      <c r="G453" s="104"/>
      <c r="H453" s="95"/>
    </row>
    <row r="454" spans="2:8">
      <c r="B454" s="1"/>
      <c r="C454" s="64"/>
      <c r="D454" s="105"/>
      <c r="E454" s="104"/>
      <c r="F454" s="104"/>
      <c r="G454" s="104"/>
      <c r="H454" s="95"/>
    </row>
    <row r="455" spans="2:8">
      <c r="B455" s="1"/>
      <c r="C455" s="64"/>
      <c r="D455" s="105"/>
      <c r="E455" s="104"/>
      <c r="F455" s="104"/>
      <c r="G455" s="104"/>
      <c r="H455" s="95"/>
    </row>
    <row r="456" spans="2:8">
      <c r="B456" s="1"/>
      <c r="C456" s="64"/>
      <c r="D456" s="105"/>
      <c r="E456" s="104"/>
      <c r="F456" s="104"/>
      <c r="G456" s="104"/>
      <c r="H456" s="95"/>
    </row>
    <row r="457" spans="2:8">
      <c r="B457" s="1"/>
      <c r="C457" s="64"/>
      <c r="D457" s="105"/>
      <c r="E457" s="104"/>
      <c r="F457" s="104"/>
      <c r="G457" s="104"/>
      <c r="H457" s="95"/>
    </row>
    <row r="458" spans="2:8">
      <c r="B458" s="1"/>
      <c r="C458" s="64"/>
      <c r="D458" s="105"/>
      <c r="E458" s="104"/>
      <c r="F458" s="104"/>
      <c r="G458" s="104"/>
      <c r="H458" s="95"/>
    </row>
    <row r="459" spans="2:8">
      <c r="B459" s="1"/>
      <c r="C459" s="64"/>
      <c r="D459" s="105"/>
      <c r="E459" s="104"/>
      <c r="F459" s="104"/>
      <c r="G459" s="104"/>
      <c r="H459" s="95"/>
    </row>
    <row r="460" spans="2:8">
      <c r="B460" s="1"/>
      <c r="C460" s="64"/>
      <c r="D460" s="105"/>
      <c r="E460" s="104"/>
      <c r="F460" s="104"/>
      <c r="G460" s="104"/>
      <c r="H460" s="95"/>
    </row>
    <row r="461" spans="2:8">
      <c r="B461" s="1"/>
      <c r="C461" s="64"/>
      <c r="D461" s="105"/>
      <c r="E461" s="104"/>
      <c r="F461" s="104"/>
      <c r="G461" s="104"/>
      <c r="H461" s="95"/>
    </row>
    <row r="462" spans="2:8">
      <c r="B462" s="1"/>
      <c r="C462" s="64"/>
      <c r="D462" s="105"/>
      <c r="E462" s="104"/>
      <c r="F462" s="104"/>
      <c r="G462" s="104"/>
      <c r="H462" s="95"/>
    </row>
    <row r="463" spans="2:8">
      <c r="B463" s="1"/>
      <c r="C463" s="64"/>
      <c r="D463" s="105"/>
      <c r="E463" s="104"/>
      <c r="F463" s="104"/>
      <c r="G463" s="104"/>
      <c r="H463" s="95"/>
    </row>
    <row r="464" spans="2:8">
      <c r="B464" s="1"/>
      <c r="C464" s="64"/>
      <c r="D464" s="105"/>
      <c r="E464" s="104"/>
      <c r="F464" s="104"/>
      <c r="G464" s="104"/>
      <c r="H464" s="95"/>
    </row>
    <row r="465" spans="2:8">
      <c r="B465" s="1"/>
      <c r="C465" s="64"/>
      <c r="D465" s="105"/>
      <c r="E465" s="104"/>
      <c r="F465" s="104"/>
      <c r="G465" s="104"/>
      <c r="H465" s="95"/>
    </row>
    <row r="466" spans="2:8">
      <c r="B466" s="1"/>
      <c r="C466" s="64"/>
      <c r="D466" s="105"/>
      <c r="E466" s="104"/>
      <c r="F466" s="104"/>
      <c r="G466" s="104"/>
      <c r="H466" s="95"/>
    </row>
    <row r="467" spans="2:8">
      <c r="B467" s="1"/>
      <c r="C467" s="64"/>
      <c r="D467" s="105"/>
      <c r="E467" s="104"/>
      <c r="F467" s="104"/>
      <c r="G467" s="104"/>
      <c r="H467" s="95"/>
    </row>
    <row r="468" spans="2:8">
      <c r="B468" s="1"/>
      <c r="C468" s="64"/>
      <c r="D468" s="105"/>
      <c r="E468" s="104"/>
      <c r="F468" s="104"/>
      <c r="G468" s="104"/>
      <c r="H468" s="95"/>
    </row>
    <row r="469" spans="2:8">
      <c r="B469" s="1"/>
      <c r="C469" s="64"/>
      <c r="D469" s="105"/>
      <c r="E469" s="104"/>
      <c r="F469" s="104"/>
      <c r="G469" s="104"/>
      <c r="H469" s="95"/>
    </row>
    <row r="470" spans="2:8">
      <c r="B470" s="1"/>
      <c r="C470" s="64"/>
      <c r="D470" s="105"/>
      <c r="E470" s="104"/>
      <c r="F470" s="104"/>
      <c r="G470" s="104"/>
      <c r="H470" s="95"/>
    </row>
    <row r="471" spans="2:8">
      <c r="B471" s="1"/>
      <c r="C471" s="64"/>
      <c r="D471" s="105"/>
      <c r="E471" s="104"/>
      <c r="F471" s="104"/>
      <c r="G471" s="104"/>
      <c r="H471" s="95"/>
    </row>
    <row r="472" spans="2:8">
      <c r="B472" s="1"/>
      <c r="C472" s="64"/>
      <c r="D472" s="105"/>
      <c r="E472" s="104"/>
      <c r="F472" s="104"/>
      <c r="G472" s="104"/>
      <c r="H472" s="95"/>
    </row>
    <row r="473" spans="2:8">
      <c r="B473" s="1"/>
      <c r="C473" s="64"/>
      <c r="D473" s="105"/>
      <c r="E473" s="104"/>
      <c r="F473" s="104"/>
      <c r="G473" s="104"/>
      <c r="H473" s="95"/>
    </row>
    <row r="474" spans="2:8">
      <c r="B474" s="1"/>
      <c r="C474" s="64"/>
      <c r="D474" s="105"/>
      <c r="E474" s="104"/>
      <c r="F474" s="104"/>
      <c r="G474" s="104"/>
      <c r="H474" s="95"/>
    </row>
    <row r="475" spans="2:8">
      <c r="B475" s="1"/>
      <c r="C475" s="64"/>
      <c r="D475" s="105"/>
      <c r="E475" s="104"/>
      <c r="F475" s="104"/>
      <c r="G475" s="104"/>
      <c r="H475" s="95"/>
    </row>
    <row r="476" spans="2:8">
      <c r="B476" s="1"/>
      <c r="C476" s="64"/>
      <c r="D476" s="105"/>
      <c r="E476" s="104"/>
      <c r="F476" s="104"/>
      <c r="G476" s="104"/>
      <c r="H476" s="95"/>
    </row>
    <row r="477" spans="2:8">
      <c r="B477" s="1"/>
      <c r="C477" s="64"/>
      <c r="D477" s="105"/>
      <c r="E477" s="104"/>
      <c r="F477" s="104"/>
      <c r="G477" s="104"/>
      <c r="H477" s="95"/>
    </row>
    <row r="478" spans="2:8">
      <c r="B478" s="1"/>
      <c r="C478" s="64"/>
      <c r="D478" s="105"/>
      <c r="E478" s="104"/>
      <c r="F478" s="104"/>
      <c r="G478" s="104"/>
      <c r="H478" s="95"/>
    </row>
    <row r="479" spans="2:8">
      <c r="B479" s="1"/>
      <c r="C479" s="64"/>
      <c r="D479" s="105"/>
      <c r="E479" s="104"/>
      <c r="F479" s="104"/>
      <c r="G479" s="104"/>
      <c r="H479" s="95"/>
    </row>
    <row r="480" spans="2:8">
      <c r="B480" s="1"/>
      <c r="C480" s="64"/>
      <c r="D480" s="105"/>
      <c r="E480" s="104"/>
      <c r="F480" s="104"/>
      <c r="G480" s="104"/>
      <c r="H480" s="95"/>
    </row>
    <row r="481" spans="2:8">
      <c r="B481" s="1"/>
      <c r="C481" s="64"/>
      <c r="D481" s="105"/>
      <c r="E481" s="104"/>
      <c r="F481" s="104"/>
      <c r="G481" s="104"/>
      <c r="H481" s="95"/>
    </row>
    <row r="482" spans="2:8">
      <c r="B482" s="1"/>
      <c r="C482" s="64"/>
      <c r="D482" s="105"/>
      <c r="E482" s="104"/>
      <c r="F482" s="104"/>
      <c r="G482" s="104"/>
      <c r="H482" s="95"/>
    </row>
    <row r="483" spans="2:8">
      <c r="B483" s="1"/>
      <c r="C483" s="64"/>
      <c r="D483" s="105"/>
      <c r="E483" s="104"/>
      <c r="F483" s="104"/>
      <c r="G483" s="104"/>
      <c r="H483" s="95"/>
    </row>
    <row r="484" spans="2:8">
      <c r="B484" s="1"/>
      <c r="C484" s="64"/>
      <c r="D484" s="105"/>
      <c r="E484" s="104"/>
      <c r="F484" s="104"/>
      <c r="G484" s="104"/>
      <c r="H484" s="95"/>
    </row>
    <row r="485" spans="2:8">
      <c r="B485" s="1"/>
      <c r="C485" s="64"/>
      <c r="D485" s="105"/>
      <c r="E485" s="104"/>
      <c r="F485" s="104"/>
      <c r="G485" s="104"/>
      <c r="H485" s="95"/>
    </row>
    <row r="486" spans="2:8">
      <c r="B486" s="1"/>
      <c r="C486" s="64"/>
      <c r="D486" s="105"/>
      <c r="E486" s="104"/>
      <c r="F486" s="104"/>
      <c r="G486" s="104"/>
      <c r="H486" s="95"/>
    </row>
    <row r="487" spans="2:8">
      <c r="B487" s="1"/>
      <c r="C487" s="64"/>
      <c r="D487" s="105"/>
      <c r="E487" s="104"/>
      <c r="F487" s="104"/>
      <c r="G487" s="104"/>
      <c r="H487" s="95"/>
    </row>
    <row r="488" spans="2:8">
      <c r="B488" s="1"/>
      <c r="C488" s="64"/>
      <c r="D488" s="105"/>
      <c r="E488" s="104"/>
      <c r="F488" s="104"/>
      <c r="G488" s="104"/>
      <c r="H488" s="95"/>
    </row>
    <row r="489" spans="2:8">
      <c r="B489" s="1"/>
      <c r="C489" s="64"/>
      <c r="D489" s="105"/>
      <c r="E489" s="104"/>
      <c r="F489" s="104"/>
      <c r="G489" s="104"/>
      <c r="H489" s="95"/>
    </row>
    <row r="490" spans="2:8">
      <c r="B490" s="1"/>
      <c r="C490" s="64"/>
      <c r="D490" s="105"/>
      <c r="E490" s="104"/>
      <c r="F490" s="104"/>
      <c r="G490" s="104"/>
      <c r="H490" s="95"/>
    </row>
    <row r="491" spans="2:8">
      <c r="B491" s="1"/>
      <c r="C491" s="64"/>
      <c r="D491" s="105"/>
      <c r="E491" s="104"/>
      <c r="F491" s="104"/>
      <c r="G491" s="104"/>
      <c r="H491" s="95"/>
    </row>
    <row r="492" spans="2:8">
      <c r="B492" s="1"/>
      <c r="C492" s="64"/>
      <c r="D492" s="105"/>
      <c r="E492" s="104"/>
      <c r="F492" s="104"/>
      <c r="G492" s="104"/>
      <c r="H492" s="95"/>
    </row>
    <row r="493" spans="2:8">
      <c r="B493" s="1"/>
      <c r="C493" s="64"/>
      <c r="D493" s="105"/>
      <c r="E493" s="104"/>
      <c r="F493" s="104"/>
      <c r="G493" s="104"/>
      <c r="H493" s="95"/>
    </row>
    <row r="494" spans="2:8">
      <c r="B494" s="1"/>
      <c r="C494" s="64"/>
      <c r="D494" s="105"/>
      <c r="E494" s="104"/>
      <c r="F494" s="104"/>
      <c r="G494" s="104"/>
      <c r="H494" s="95"/>
    </row>
    <row r="495" spans="2:8">
      <c r="B495" s="1"/>
      <c r="C495" s="64"/>
      <c r="D495" s="105"/>
      <c r="E495" s="104"/>
      <c r="F495" s="104"/>
      <c r="G495" s="104"/>
      <c r="H495" s="95"/>
    </row>
    <row r="496" spans="2:8">
      <c r="B496" s="1"/>
      <c r="C496" s="64"/>
      <c r="D496" s="105"/>
      <c r="E496" s="104"/>
      <c r="F496" s="104"/>
      <c r="G496" s="104"/>
      <c r="H496" s="95"/>
    </row>
    <row r="497" spans="2:8">
      <c r="B497" s="1"/>
      <c r="C497" s="64"/>
      <c r="D497" s="105"/>
      <c r="E497" s="104"/>
      <c r="F497" s="104"/>
      <c r="G497" s="104"/>
      <c r="H497" s="95"/>
    </row>
    <row r="498" spans="2:8">
      <c r="B498" s="1"/>
      <c r="C498" s="1"/>
      <c r="D498" s="1"/>
      <c r="E498" s="1"/>
      <c r="F498" s="1"/>
      <c r="G498" s="1"/>
    </row>
    <row r="499" spans="2:8">
      <c r="B499" s="1"/>
      <c r="C499" s="1"/>
      <c r="D499" s="1"/>
      <c r="E499" s="1"/>
      <c r="F499" s="1"/>
      <c r="G499" s="1"/>
    </row>
  </sheetData>
  <mergeCells count="2">
    <mergeCell ref="B1:F1"/>
    <mergeCell ref="D3:G3"/>
  </mergeCells>
  <conditionalFormatting sqref="B6:D6 B4:E4 B3:D3 B5:C5 B7:C7 B2:I2">
    <cfRule type="colorScale" priority="2">
      <colorScale>
        <cfvo type="min"/>
        <cfvo type="max"/>
        <color rgb="FF57BB8A"/>
        <color rgb="FFFFFFFF"/>
      </colorScale>
    </cfRule>
  </conditionalFormatting>
  <conditionalFormatting sqref="E5">
    <cfRule type="expression" dxfId="0" priority="1">
      <formula>DAY($E$5)&gt;28</formula>
    </cfRule>
  </conditionalFormatting>
  <conditionalFormatting sqref="F9:G11">
    <cfRule type="colorScale" priority="3">
      <colorScale>
        <cfvo type="min"/>
        <cfvo type="max"/>
        <color rgb="FF57BB8A"/>
        <color rgb="FFFFFFFF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Préstamos participados</vt:lpstr>
      <vt:lpstr>Cancelaciones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Narcís Promocima</dc:creator>
  <cp:lastModifiedBy>Narcís Magriñà</cp:lastModifiedBy>
  <dcterms:created xsi:type="dcterms:W3CDTF">2023-03-02T20:57:13Z</dcterms:created>
  <dcterms:modified xsi:type="dcterms:W3CDTF">2026-03-15T16:10:06Z</dcterms:modified>
</cp:coreProperties>
</file>