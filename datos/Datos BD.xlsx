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atos/"/>
    </mc:Choice>
  </mc:AlternateContent>
  <xr:revisionPtr revIDLastSave="0" documentId="13_ncr:11_{AFC146B5-ED6E-0C48-95A4-18B168473CF3}" xr6:coauthVersionLast="47" xr6:coauthVersionMax="47" xr10:uidLastSave="{00000000-0000-0000-0000-000000000000}"/>
  <bookViews>
    <workbookView xWindow="27320" yWindow="500" windowWidth="23880" windowHeight="26660" activeTab="3" xr2:uid="{7DA0983C-EA6B-584E-90AC-C5A5D261DBFA}"/>
  </bookViews>
  <sheets>
    <sheet name="Clientes" sheetId="1" r:id="rId1"/>
    <sheet name="Intermediarios" sheetId="2" r:id="rId2"/>
    <sheet name="Garantías" sheetId="4" r:id="rId3"/>
    <sheet name="Préstamos" sheetId="3" r:id="rId4"/>
    <sheet name="Partícip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3" i="3"/>
</calcChain>
</file>

<file path=xl/sharedStrings.xml><?xml version="1.0" encoding="utf-8"?>
<sst xmlns="http://schemas.openxmlformats.org/spreadsheetml/2006/main" count="1197" uniqueCount="428">
  <si>
    <t>Prestatario</t>
  </si>
  <si>
    <t>Tipo</t>
  </si>
  <si>
    <t>Intermediario</t>
  </si>
  <si>
    <t>Peindao Vives</t>
  </si>
  <si>
    <t>Silex</t>
  </si>
  <si>
    <t>Panadero Hinarejos</t>
  </si>
  <si>
    <t>Caros Santiago Reyes</t>
  </si>
  <si>
    <t>Domingo Juan Santana Araya</t>
  </si>
  <si>
    <t>Juan Melchor Torrens Pou</t>
  </si>
  <si>
    <t>Juliana Joval Esque</t>
  </si>
  <si>
    <t>Mª Isabel González Sáres</t>
  </si>
  <si>
    <t>Vidal Yagüe - Ibiza</t>
  </si>
  <si>
    <t>Préstamos Jaume Boixadós</t>
  </si>
  <si>
    <t>Jaume Solè Bardalet</t>
  </si>
  <si>
    <t>Rubén Gil de Blás</t>
  </si>
  <si>
    <t>Santiago Figueiras Soñora</t>
  </si>
  <si>
    <t>Gestión y Trámites - David Ferrer</t>
  </si>
  <si>
    <t>José Dominguez Caballero</t>
  </si>
  <si>
    <t>M.Teresa Faure y David Zamora</t>
  </si>
  <si>
    <t>José Zamora Molina</t>
  </si>
  <si>
    <t>Jose Antonio García Mañanes</t>
  </si>
  <si>
    <t>Antonio Torres Marmol</t>
  </si>
  <si>
    <t>Jose Antonio López Oñate</t>
  </si>
  <si>
    <t>Ana Isabel Otegui Aramburu</t>
  </si>
  <si>
    <t>Florentina González Martos</t>
  </si>
  <si>
    <t>Victor Espejo Gines</t>
  </si>
  <si>
    <t>2º Juliana Joval Esque</t>
  </si>
  <si>
    <t>Gustavo Alberto Fernández de la Puebla</t>
  </si>
  <si>
    <t>Concepción Saiz Saiz</t>
  </si>
  <si>
    <t>Tomasa Palacios Torres</t>
  </si>
  <si>
    <t>María del Mar Miguel León</t>
  </si>
  <si>
    <t>Mónica Rodríguez López</t>
  </si>
  <si>
    <t>Lourdes Bartolome Martínez</t>
  </si>
  <si>
    <t>Juan Jiménez Artacho</t>
  </si>
  <si>
    <t>Péstamo José Eleuterio Navarro Mira</t>
  </si>
  <si>
    <t>Adela Rueda García</t>
  </si>
  <si>
    <t>María Carmen Orrico Teruel</t>
  </si>
  <si>
    <t>Pablo Pedro Benitez Perez</t>
  </si>
  <si>
    <t>Mª Flora Echevarria Sesmilo</t>
  </si>
  <si>
    <t>Yolanda de Blas Sánchez</t>
  </si>
  <si>
    <t>Avanza -Puerto Portals- Mallorca</t>
  </si>
  <si>
    <t>Avanza</t>
  </si>
  <si>
    <t>PROGELAN Y URBITEC</t>
  </si>
  <si>
    <t>Kontactalia</t>
  </si>
  <si>
    <t>Avanza -Torre Azul- Mallorca</t>
  </si>
  <si>
    <t>Avanza -Sa Bassa Rotja- Mallorca</t>
  </si>
  <si>
    <t>Castelldefels</t>
  </si>
  <si>
    <t>Avanza - Pino Centinela-Boadilla del Monte</t>
  </si>
  <si>
    <t>Avanza - Santa Ponsa - Mallorca</t>
  </si>
  <si>
    <t>JARALU</t>
  </si>
  <si>
    <t>MAXTANER</t>
  </si>
  <si>
    <t>Avanza -Santa María - Mallorca</t>
  </si>
  <si>
    <t>Avanza - Calvia - Mallorca</t>
  </si>
  <si>
    <t>Avanza - La Quinta - Marbella</t>
  </si>
  <si>
    <t>INVERSIONES ARANDA</t>
  </si>
  <si>
    <t>ACTI VIDA</t>
  </si>
  <si>
    <t>FIVE RODRIS</t>
  </si>
  <si>
    <t>QUANTUM ENERGY</t>
  </si>
  <si>
    <t>Avanza - Juan de Austria - Tarifa</t>
  </si>
  <si>
    <t>Avanza - Sant Andreu de Llavaneres - Barcelona</t>
  </si>
  <si>
    <t>LOOKING 4 PERFECTION</t>
  </si>
  <si>
    <t>MAS MADRID</t>
  </si>
  <si>
    <t>JAIDI INVERSIONES</t>
  </si>
  <si>
    <t>Fueslo Partners</t>
  </si>
  <si>
    <t>INMOBILIARIA BENARES PERTÍN</t>
  </si>
  <si>
    <t>Barnacredit</t>
  </si>
  <si>
    <t>TYR INVESTMENT PARTNER</t>
  </si>
  <si>
    <t>persona</t>
  </si>
  <si>
    <t>empresa</t>
  </si>
  <si>
    <t>ID</t>
  </si>
  <si>
    <t>Nombre</t>
  </si>
  <si>
    <t>Promocima</t>
  </si>
  <si>
    <t>ID_intermediario</t>
  </si>
  <si>
    <t>Centro coste</t>
  </si>
  <si>
    <t>Importe</t>
  </si>
  <si>
    <t>% interés ordinario</t>
  </si>
  <si>
    <t>% interés demora</t>
  </si>
  <si>
    <t>Garantía</t>
  </si>
  <si>
    <t>Tipo préstamo</t>
  </si>
  <si>
    <t>Situación</t>
  </si>
  <si>
    <t>Fecha cancelación</t>
  </si>
  <si>
    <t>Duración</t>
  </si>
  <si>
    <t>% apertura</t>
  </si>
  <si>
    <t>Préstamo Peinado Vives</t>
  </si>
  <si>
    <t>Francés</t>
  </si>
  <si>
    <t>Cancelados</t>
  </si>
  <si>
    <t>Présamo Panadero Hinarejos</t>
  </si>
  <si>
    <t>Préstamo Carlos Santiago Reyes</t>
  </si>
  <si>
    <t>Las Palmas de GC - Persona física</t>
  </si>
  <si>
    <t>Activos</t>
  </si>
  <si>
    <t>Préstamo Juan Melchor Torrens Pou</t>
  </si>
  <si>
    <t>Préstamo Juliana Joval Esque</t>
  </si>
  <si>
    <t>Préstamo Mª Isabel González Sáres</t>
  </si>
  <si>
    <t>Préstamo Vidal Yagüe - Ibiza</t>
  </si>
  <si>
    <t>Americano</t>
  </si>
  <si>
    <t>Préstamo Jaume Solè Bardalet</t>
  </si>
  <si>
    <t>Préstamo Rubén Gil de Blás</t>
  </si>
  <si>
    <t>Noia - Persona física</t>
  </si>
  <si>
    <t>Carencia 12 meses</t>
  </si>
  <si>
    <t>Préstamo Gestión y Trámites - David Ferrer</t>
  </si>
  <si>
    <t>Préstamo José Dominguez Caballero</t>
  </si>
  <si>
    <t>Préstamo M.Teresa Faure y David Zamora</t>
  </si>
  <si>
    <t>Lorca - Murcia - Persona física</t>
  </si>
  <si>
    <t>Préstamo Jose Antonio García Mañanes</t>
  </si>
  <si>
    <t>Préstamo Antonio Torres Marmol</t>
  </si>
  <si>
    <t>Préstamo Jose Antonio López Oñate</t>
  </si>
  <si>
    <t>Judicializados</t>
  </si>
  <si>
    <t>En reclamación judicial</t>
  </si>
  <si>
    <t>Préstamo Ana Isabel Otegui Aramburu</t>
  </si>
  <si>
    <t>Préstamo Florentina González Martos</t>
  </si>
  <si>
    <t>Préstamo Victor Espejo Gines</t>
  </si>
  <si>
    <t>2º Préstamo Juliana Joval Esque</t>
  </si>
  <si>
    <t>Préstamo Gustavo Alberto Fernández de la Puebla</t>
  </si>
  <si>
    <t>Préstamo Concepción Saiz Saiz</t>
  </si>
  <si>
    <t>Boró - Rivas_Vaciamadrid - Persona física</t>
  </si>
  <si>
    <t>Préstamo María del Mar Miguel León</t>
  </si>
  <si>
    <t>Boró - Rivas_Vaciamadrid 2 - Persona física</t>
  </si>
  <si>
    <t>Préstamo Mónica Rodríguez López</t>
  </si>
  <si>
    <t>Préstamo Lourdes Bartolome Martínez</t>
  </si>
  <si>
    <t>Préstamo Juan Jiménez Artacho</t>
  </si>
  <si>
    <t>Préstamo Adela Rueda García</t>
  </si>
  <si>
    <t>Valencia - Persona física</t>
  </si>
  <si>
    <t>Préstamo Pablo Pedro Benitez Perez</t>
  </si>
  <si>
    <t>Préstamo Mª Flora Echevarria Sesmilo</t>
  </si>
  <si>
    <t>Préstamo Yolanda de Blas Sánchez</t>
  </si>
  <si>
    <t>Parla 1</t>
  </si>
  <si>
    <t>Parla 2</t>
  </si>
  <si>
    <t xml:space="preserve">Jerez </t>
  </si>
  <si>
    <t>Sitges</t>
  </si>
  <si>
    <t>Oropesa</t>
  </si>
  <si>
    <t>Sierra Madrid</t>
  </si>
  <si>
    <t>Zona Franca</t>
  </si>
  <si>
    <t>Parla 3</t>
  </si>
  <si>
    <t>Blanes</t>
  </si>
  <si>
    <t>Málaga 1</t>
  </si>
  <si>
    <t>Carabanchel</t>
  </si>
  <si>
    <t>Málaga 2</t>
  </si>
  <si>
    <t>Mallorca</t>
  </si>
  <si>
    <t>Parla 4</t>
  </si>
  <si>
    <t>Málaga 3</t>
  </si>
  <si>
    <t>Almería</t>
  </si>
  <si>
    <t>Casares</t>
  </si>
  <si>
    <t>Alias</t>
  </si>
  <si>
    <t>Fecha firma</t>
  </si>
  <si>
    <t>Garantía Peindao Vives</t>
  </si>
  <si>
    <t>Garantía Panadero Hinarejos</t>
  </si>
  <si>
    <t>Garantía Caros Santiago Reyes</t>
  </si>
  <si>
    <t>Garantía Domingo Juan Santana Araya</t>
  </si>
  <si>
    <t>Garantía Juan Melchor Torrens Pou</t>
  </si>
  <si>
    <t>Garantía Juliana Joval Esque</t>
  </si>
  <si>
    <t>Garantía Mª Isabel González Sáres</t>
  </si>
  <si>
    <t>Garantía Vidal Yagüe - Ibiza</t>
  </si>
  <si>
    <t>Garantía Préstamos Jaume Boixadós</t>
  </si>
  <si>
    <t>Garantía Jaume Solè Bardalet</t>
  </si>
  <si>
    <t>Garantía Rubén Gil de Blás</t>
  </si>
  <si>
    <t>Garantía Santiago Figueiras Soñora</t>
  </si>
  <si>
    <t>Garantía Gestión y Trámites - David Ferrer</t>
  </si>
  <si>
    <t>Garantía José Dominguez Caballero</t>
  </si>
  <si>
    <t>Garantía M.Teresa Faure y David Zamora</t>
  </si>
  <si>
    <t>Garantía José Zamora Molina</t>
  </si>
  <si>
    <t>Garantía Jose Antonio García Mañanes</t>
  </si>
  <si>
    <t>Garantía Antonio Torres Marmol</t>
  </si>
  <si>
    <t>Garantía Jose Antonio López Oñate</t>
  </si>
  <si>
    <t>Garantía Ana Isabel Otegui Aramburu</t>
  </si>
  <si>
    <t>Garantía Florentina González Martos</t>
  </si>
  <si>
    <t>Garantía Victor Espejo Gines</t>
  </si>
  <si>
    <t>Garantía 2º Juliana Joval Esque</t>
  </si>
  <si>
    <t>Garantía Gustavo Alberto Fernández de la Puebla</t>
  </si>
  <si>
    <t>Garantía Concepción Saiz Saiz</t>
  </si>
  <si>
    <t>Garantía Tomasa Palacios Torres</t>
  </si>
  <si>
    <t>Garantía María del Mar Miguel León</t>
  </si>
  <si>
    <t>Garantía Mónica Rodríguez López</t>
  </si>
  <si>
    <t>Garantía Lourdes Bartolome Martínez</t>
  </si>
  <si>
    <t>Garantía Juan Jiménez Artacho</t>
  </si>
  <si>
    <t>Garantía Péstamo José Eleuterio Navarro Mira</t>
  </si>
  <si>
    <t>Garantía Adela Rueda García</t>
  </si>
  <si>
    <t>Garantía María Carmen Orrico Teruel</t>
  </si>
  <si>
    <t>Garantía Pablo Pedro Benitez Perez</t>
  </si>
  <si>
    <t>Garantía Mª Flora Echevarria Sesmilo</t>
  </si>
  <si>
    <t>Garantía Yolanda de Blas Sánchez</t>
  </si>
  <si>
    <t>Garantía Avanza -Puerto Portals- Mallorca</t>
  </si>
  <si>
    <t>Garantía PROGELAN Y URBITEC</t>
  </si>
  <si>
    <t>Garantía Avanza -Torre Azul- Mallorca</t>
  </si>
  <si>
    <t>Garantía Avanza -Sa Bassa Rotja- Mallorca</t>
  </si>
  <si>
    <t>Garantía Castelldefels</t>
  </si>
  <si>
    <t>Garantía Avanza - Pino Centinela-Boadilla del Monte</t>
  </si>
  <si>
    <t>Garantía Avanza - Santa Ponsa - Mallorca</t>
  </si>
  <si>
    <t>Garantía JARALU</t>
  </si>
  <si>
    <t>Garantía MAXTANER</t>
  </si>
  <si>
    <t>Garantía Avanza -Santa María - Mallorca</t>
  </si>
  <si>
    <t>Garantía Avanza - Calvia - Mallorca</t>
  </si>
  <si>
    <t>Garantía Avanza - La Quinta - Marbella</t>
  </si>
  <si>
    <t>Garantía INVERSIONES ARANDA</t>
  </si>
  <si>
    <t>Garantía ACTI VIDA</t>
  </si>
  <si>
    <t>Garantía FIVE RODRIS</t>
  </si>
  <si>
    <t>Garantía QUANTUM ENERGY</t>
  </si>
  <si>
    <t>Garantía Avanza - Juan de Austria - Tarifa</t>
  </si>
  <si>
    <t>Garantía Avanza - Sant Andreu de Llavaneres - Barcelona</t>
  </si>
  <si>
    <t>Garantía LOOKING 4 PERFECTION</t>
  </si>
  <si>
    <t>Garantía MAS MADRID</t>
  </si>
  <si>
    <t>Garantía JAIDI INVERSIONES</t>
  </si>
  <si>
    <t>Garantía INMOBILIARIA BENARES PERTÍN</t>
  </si>
  <si>
    <t>Garantía TYR INVESTMENT PARTNER</t>
  </si>
  <si>
    <t>Dirección</t>
  </si>
  <si>
    <t>Solar</t>
  </si>
  <si>
    <t>ID_Garantia</t>
  </si>
  <si>
    <t>Notas</t>
  </si>
  <si>
    <t>Cliente</t>
  </si>
  <si>
    <t>I004</t>
  </si>
  <si>
    <t>I005</t>
  </si>
  <si>
    <t>I006</t>
  </si>
  <si>
    <t>I007</t>
  </si>
  <si>
    <t>I008</t>
  </si>
  <si>
    <t>I003</t>
  </si>
  <si>
    <t>ID_NUM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</si>
  <si>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</si>
  <si>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</si>
  <si>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</si>
  <si>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</si>
  <si>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</si>
  <si>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</si>
  <si>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</si>
  <si>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</si>
  <si>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</si>
  <si>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</si>
  <si>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</si>
  <si>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</si>
  <si>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</si>
  <si>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</si>
  <si>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</si>
  <si>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</si>
  <si>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</si>
  <si>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</si>
  <si>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</si>
  <si>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</si>
  <si>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</si>
  <si>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</si>
  <si>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</si>
  <si>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</si>
  <si>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</si>
  <si>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</si>
  <si>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</si>
  <si>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</si>
  <si>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</si>
  <si>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</si>
  <si>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</si>
  <si>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</si>
  <si>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</si>
  <si>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</si>
  <si>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</si>
  <si>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</si>
  <si>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</si>
  <si>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</si>
  <si>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</si>
  <si>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</si>
  <si>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</si>
  <si>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</si>
  <si>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</si>
  <si>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</si>
  <si>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</si>
  <si>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</si>
  <si>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</si>
  <si>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</si>
  <si>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</si>
  <si>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</si>
  <si>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</si>
  <si>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</si>
  <si>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</si>
  <si>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</si>
  <si>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</si>
  <si>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</si>
  <si>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</si>
  <si>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</si>
  <si>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</si>
  <si>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</si>
  <si>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</si>
  <si>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</si>
  <si>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</si>
  <si>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</si>
  <si>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</si>
  <si>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</si>
  <si>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</si>
  <si>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</si>
  <si>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</si>
  <si>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</si>
  <si>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</si>
  <si>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</si>
  <si>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</si>
  <si>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</si>
  <si>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</si>
  <si>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</si>
  <si>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</si>
  <si>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</si>
  <si>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</si>
  <si>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</si>
  <si>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</si>
  <si>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</si>
  <si>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</si>
  <si>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</si>
  <si>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</si>
  <si>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</si>
  <si>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</si>
  <si>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</si>
  <si>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</si>
  <si>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</si>
  <si>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</si>
  <si>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</si>
  <si>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</si>
  <si>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</si>
  <si>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</si>
  <si>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</si>
  <si>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</si>
  <si>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</si>
  <si>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</si>
  <si>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</si>
  <si>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</si>
  <si>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</si>
  <si>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</si>
  <si>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</si>
  <si>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</si>
  <si>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</si>
  <si>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</si>
  <si>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</si>
  <si>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</si>
  <si>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</si>
  <si>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</si>
  <si>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</si>
  <si>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</si>
  <si>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</si>
  <si>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</si>
  <si>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</si>
  <si>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</si>
  <si>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</si>
  <si>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</si>
  <si>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</si>
  <si>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</si>
  <si>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</si>
  <si>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</si>
  <si>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</si>
  <si>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</si>
  <si>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</si>
  <si>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</si>
  <si>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</si>
  <si>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</si>
  <si>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</si>
  <si>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</si>
  <si>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</si>
  <si>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</si>
  <si>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</si>
  <si>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</si>
  <si>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</si>
  <si>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</si>
  <si>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</si>
  <si>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</si>
  <si>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</si>
  <si>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</si>
  <si>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</si>
  <si>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</si>
  <si>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</si>
  <si>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</si>
  <si>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</si>
  <si>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</si>
  <si>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</si>
  <si>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</si>
  <si>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</si>
  <si>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</si>
  <si>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</si>
  <si>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</si>
  <si>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</si>
  <si>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</si>
  <si>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</si>
  <si>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</si>
  <si>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</si>
  <si>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</si>
  <si>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</si>
  <si>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</si>
  <si>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</si>
  <si>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</si>
  <si>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</si>
  <si>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</si>
  <si>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</si>
  <si>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</si>
  <si>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</si>
  <si>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</si>
  <si>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</si>
  <si>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</si>
  <si>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</si>
  <si>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</si>
  <si>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</si>
  <si>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</si>
  <si>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</si>
  <si>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</si>
  <si>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</si>
  <si>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</si>
  <si>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</si>
  <si>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</si>
  <si>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</si>
  <si>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</si>
  <si>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</si>
  <si>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</si>
  <si>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</si>
  <si>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</si>
  <si>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</si>
  <si>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P005</t>
  </si>
  <si>
    <t>Día cobro</t>
  </si>
  <si>
    <t>Periodicidad</t>
  </si>
  <si>
    <t>mensual</t>
  </si>
  <si>
    <t>trimestral</t>
  </si>
  <si>
    <t>anual</t>
  </si>
  <si>
    <t>Columna1</t>
  </si>
  <si>
    <t>ordinario</t>
  </si>
  <si>
    <t>demora</t>
  </si>
  <si>
    <t>apertura</t>
  </si>
  <si>
    <t>ID2</t>
  </si>
  <si>
    <t>CC CCPP</t>
  </si>
  <si>
    <t>Nombre CCPP</t>
  </si>
  <si>
    <t>EXPORTEN</t>
  </si>
  <si>
    <t>Jaume Marcos Domenech</t>
  </si>
  <si>
    <t>José Cosculluela</t>
  </si>
  <si>
    <t>1151 INVERSIONES, SL</t>
  </si>
  <si>
    <t>Xavier Riart</t>
  </si>
  <si>
    <t>PRESTAPRO CAPITAL, SL</t>
  </si>
  <si>
    <t>PT003</t>
  </si>
  <si>
    <t>PT004</t>
  </si>
  <si>
    <t>PT005</t>
  </si>
  <si>
    <t>PT006</t>
  </si>
  <si>
    <t>PT007</t>
  </si>
  <si>
    <t>PT008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</si>
</sst>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\ &quot;A&quot;"/>
    <numFmt numFmtId="166" formatCode="0\ &quot;E&quot;"/>
    <numFmt numFmtId="167" formatCode="0&quot;x&quot;"/>
    <numFmt numFmtId="168" formatCode="0.0%;\(0.0%\);\-"/>
    <numFmt numFmtId="169" formatCode="_-* #,##0.00\ [$€-C0A]_-;\-* #,##0.00\ [$€-C0A]_-;_-* &quot;-&quot;??\ [$€-C0A]_-;_-@_-"/>
    <numFmt numFmtId="174" formatCode="0.00%;\(0.00%\);\-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A5A5A5"/>
      <name val="Calibri"/>
      <family val="2"/>
      <scheme val="minor"/>
    </font>
    <font>
      <sz val="12"/>
      <name val="Calibri"/>
      <family val="2"/>
      <scheme val="minor"/>
    </font>
    <font>
      <sz val="12"/>
      <color rgb="FFAEAAAA"/>
      <name val="Calibri"/>
      <family val="2"/>
      <scheme val="minor"/>
    </font>
    <font>
      <sz val="12"/>
      <color rgb="FF4472C4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3" borderId="4" applyNumberFormat="0" applyAlignment="0" applyProtection="0"/>
    <xf numFmtId="0" fontId="9" fillId="0" borderId="6" applyNumberFormat="0" applyFill="0" applyAlignment="0" applyProtection="0"/>
    <xf numFmtId="0" fontId="10" fillId="4" borderId="7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164" fontId="1" fillId="0" borderId="0" applyFont="0" applyFill="0" applyBorder="0" applyAlignment="0" applyProtection="0"/>
    <xf numFmtId="164" fontId="15" fillId="5" borderId="0" applyNumberFormat="0" applyAlignment="0" applyProtection="0"/>
    <xf numFmtId="164" fontId="10" fillId="30" borderId="0" applyNumberFormat="0" applyAlignment="0" applyProtection="0"/>
    <xf numFmtId="0" fontId="1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31" borderId="9" applyNumberFormat="0" applyAlignment="0" applyProtection="0"/>
    <xf numFmtId="0" fontId="10" fillId="32" borderId="0" applyNumberFormat="0" applyAlignment="0" applyProtection="0"/>
    <xf numFmtId="0" fontId="18" fillId="33" borderId="0" applyNumberFormat="0" applyBorder="0" applyProtection="0">
      <alignment horizontal="centerContinuous"/>
    </xf>
    <xf numFmtId="0" fontId="13" fillId="34" borderId="0" applyNumberFormat="0" applyBorder="0" applyAlignment="0" applyProtection="0"/>
    <xf numFmtId="0" fontId="10" fillId="35" borderId="0" applyNumberFormat="0" applyBorder="0" applyAlignment="0" applyProtection="0"/>
    <xf numFmtId="0" fontId="19" fillId="0" borderId="0" applyNumberFormat="0" applyFill="0" applyBorder="0" applyAlignment="0" applyProtection="0"/>
    <xf numFmtId="0" fontId="10" fillId="30" borderId="10" applyNumberFormat="0" applyAlignment="0" applyProtection="0"/>
    <xf numFmtId="164" fontId="1" fillId="0" borderId="0" applyFont="0" applyFill="0" applyBorder="0" applyAlignment="0" applyProtection="0"/>
    <xf numFmtId="0" fontId="1" fillId="5" borderId="11" applyNumberFormat="0" applyBorder="0" applyAlignment="0" applyProtection="0"/>
  </cellStyleXfs>
  <cellXfs count="33">
    <xf numFmtId="0" fontId="0" fillId="0" borderId="0" xfId="0"/>
    <xf numFmtId="0" fontId="0" fillId="36" borderId="0" xfId="0" applyFill="1"/>
    <xf numFmtId="169" fontId="0" fillId="36" borderId="0" xfId="0" applyNumberFormat="1" applyFill="1"/>
    <xf numFmtId="0" fontId="10" fillId="30" borderId="10" xfId="58"/>
    <xf numFmtId="0" fontId="15" fillId="5" borderId="0" xfId="44" applyNumberFormat="1"/>
    <xf numFmtId="0" fontId="20" fillId="37" borderId="12" xfId="0" applyFont="1" applyFill="1" applyBorder="1" applyAlignment="1">
      <alignment wrapText="1"/>
    </xf>
    <xf numFmtId="0" fontId="21" fillId="38" borderId="13" xfId="0" applyFont="1" applyFill="1" applyBorder="1"/>
    <xf numFmtId="0" fontId="21" fillId="38" borderId="14" xfId="0" applyFont="1" applyFill="1" applyBorder="1"/>
    <xf numFmtId="14" fontId="21" fillId="38" borderId="14" xfId="0" applyNumberFormat="1" applyFont="1" applyFill="1" applyBorder="1"/>
    <xf numFmtId="164" fontId="21" fillId="38" borderId="14" xfId="0" applyNumberFormat="1" applyFont="1" applyFill="1" applyBorder="1"/>
    <xf numFmtId="10" fontId="21" fillId="38" borderId="14" xfId="0" applyNumberFormat="1" applyFont="1" applyFill="1" applyBorder="1"/>
    <xf numFmtId="10" fontId="22" fillId="39" borderId="14" xfId="0" applyNumberFormat="1" applyFont="1" applyFill="1" applyBorder="1"/>
    <xf numFmtId="174" fontId="23" fillId="38" borderId="14" xfId="0" applyNumberFormat="1" applyFont="1" applyFill="1" applyBorder="1"/>
    <xf numFmtId="0" fontId="24" fillId="38" borderId="14" xfId="0" applyFont="1" applyFill="1" applyBorder="1"/>
    <xf numFmtId="0" fontId="23" fillId="38" borderId="15" xfId="0" applyFont="1" applyFill="1" applyBorder="1"/>
    <xf numFmtId="0" fontId="24" fillId="38" borderId="13" xfId="0" applyFont="1" applyFill="1" applyBorder="1"/>
    <xf numFmtId="14" fontId="24" fillId="38" borderId="14" xfId="0" applyNumberFormat="1" applyFont="1" applyFill="1" applyBorder="1"/>
    <xf numFmtId="164" fontId="24" fillId="38" borderId="14" xfId="0" applyNumberFormat="1" applyFont="1" applyFill="1" applyBorder="1"/>
    <xf numFmtId="10" fontId="24" fillId="38" borderId="14" xfId="0" applyNumberFormat="1" applyFont="1" applyFill="1" applyBorder="1"/>
    <xf numFmtId="174" fontId="24" fillId="38" borderId="14" xfId="0" applyNumberFormat="1" applyFont="1" applyFill="1" applyBorder="1"/>
    <xf numFmtId="0" fontId="24" fillId="38" borderId="15" xfId="0" applyFont="1" applyFill="1" applyBorder="1"/>
    <xf numFmtId="0" fontId="21" fillId="38" borderId="15" xfId="0" applyFont="1" applyFill="1" applyBorder="1"/>
    <xf numFmtId="0" fontId="25" fillId="38" borderId="13" xfId="0" applyFont="1" applyFill="1" applyBorder="1"/>
    <xf numFmtId="0" fontId="25" fillId="38" borderId="14" xfId="0" applyFont="1" applyFill="1" applyBorder="1"/>
    <xf numFmtId="14" fontId="25" fillId="38" borderId="14" xfId="0" applyNumberFormat="1" applyFont="1" applyFill="1" applyBorder="1"/>
    <xf numFmtId="164" fontId="25" fillId="38" borderId="14" xfId="0" applyNumberFormat="1" applyFont="1" applyFill="1" applyBorder="1"/>
    <xf numFmtId="10" fontId="25" fillId="38" borderId="14" xfId="0" applyNumberFormat="1" applyFont="1" applyFill="1" applyBorder="1"/>
    <xf numFmtId="174" fontId="25" fillId="38" borderId="14" xfId="0" applyNumberFormat="1" applyFont="1" applyFill="1" applyBorder="1"/>
    <xf numFmtId="0" fontId="25" fillId="38" borderId="15" xfId="0" applyFont="1" applyFill="1" applyBorder="1"/>
    <xf numFmtId="10" fontId="21" fillId="39" borderId="14" xfId="0" applyNumberFormat="1" applyFont="1" applyFill="1" applyBorder="1"/>
    <xf numFmtId="0" fontId="24" fillId="38" borderId="13" xfId="0" applyFont="1" applyFill="1" applyBorder="1" applyAlignment="1">
      <alignment horizontal="right"/>
    </xf>
    <xf numFmtId="0" fontId="20" fillId="37" borderId="16" xfId="0" applyFont="1" applyFill="1" applyBorder="1" applyAlignment="1">
      <alignment wrapText="1"/>
    </xf>
    <xf numFmtId="0" fontId="20" fillId="37" borderId="17" xfId="0" applyFont="1" applyFill="1" applyBorder="1" applyAlignment="1">
      <alignment wrapText="1"/>
    </xf>
  </cellXfs>
  <cellStyles count="61">
    <cellStyle name="(0.000)" xfId="59" xr:uid="{360A8815-3031-C74A-BE38-C64C70964821}"/>
    <cellStyle name="0x" xfId="49" xr:uid="{C4D2F5BE-2797-2241-9F16-3312A6A0E693}"/>
    <cellStyle name="20% - Énfasis1" xfId="20" builtinId="30" hidden="1"/>
    <cellStyle name="20% - Énfasis2" xfId="24" builtinId="34" hidden="1"/>
    <cellStyle name="20% - Énfasis3" xfId="28" builtinId="38" hidden="1"/>
    <cellStyle name="20% - Énfasis4" xfId="32" builtinId="42" hidden="1"/>
    <cellStyle name="20% - Énfasis5" xfId="36" builtinId="46" hidden="1"/>
    <cellStyle name="20% - Énfasis6" xfId="40" builtinId="50" hidden="1"/>
    <cellStyle name="40% - Énfasis1" xfId="21" builtinId="31" hidden="1"/>
    <cellStyle name="40% - Énfasis2" xfId="25" builtinId="35" hidden="1"/>
    <cellStyle name="40% - Énfasis3" xfId="29" builtinId="39" hidden="1"/>
    <cellStyle name="40% - Énfasis4" xfId="33" builtinId="43" hidden="1"/>
    <cellStyle name="40% - Énfasis5" xfId="37" builtinId="47" hidden="1"/>
    <cellStyle name="40% - Énfasis6" xfId="41" builtinId="51" hidden="1"/>
    <cellStyle name="60% - Énfasis1" xfId="22" builtinId="32" hidden="1"/>
    <cellStyle name="60% - Énfasis2" xfId="26" builtinId="36" hidden="1"/>
    <cellStyle name="60% - Énfasis3" xfId="30" builtinId="40" hidden="1"/>
    <cellStyle name="60% - Énfasis4" xfId="34" builtinId="44" hidden="1"/>
    <cellStyle name="60% - Énfasis5" xfId="38" builtinId="48" hidden="1"/>
    <cellStyle name="60% - Énfasis6" xfId="42" builtinId="52" hidden="1"/>
    <cellStyle name="Actual" xfId="47" xr:uid="{1AE5DA5B-8577-1E41-9C25-4BFDC633CDA0}"/>
    <cellStyle name="Cálculo" xfId="13" builtinId="22" hidden="1"/>
    <cellStyle name="Celda de comprobación" xfId="15" builtinId="23" hidden="1"/>
    <cellStyle name="Celda vinculada" xfId="14" builtinId="24" hidden="1"/>
    <cellStyle name="Edición" xfId="44" xr:uid="{C7E9FA89-6C32-4948-AACC-6E719B3BB6DD}"/>
    <cellStyle name="Encabezado 1" xfId="7" builtinId="16" hidden="1"/>
    <cellStyle name="Encabezado 4" xfId="10" builtinId="19" hidden="1"/>
    <cellStyle name="Énfasis1" xfId="19" builtinId="29" hidden="1"/>
    <cellStyle name="Énfasis2" xfId="23" builtinId="33" hidden="1"/>
    <cellStyle name="Énfasis3" xfId="27" builtinId="37" hidden="1"/>
    <cellStyle name="Énfasis4" xfId="31" builtinId="41" hidden="1"/>
    <cellStyle name="Énfasis5" xfId="35" builtinId="45" hidden="1"/>
    <cellStyle name="Énfasis6" xfId="39" builtinId="49" hidden="1"/>
    <cellStyle name="Entrada" xfId="11" builtinId="20" hidden="1"/>
    <cellStyle name="Estimate" xfId="48" xr:uid="{CEA57298-B115-1048-BD3B-BEE65D4FDFAD}"/>
    <cellStyle name="Importado" xfId="46" xr:uid="{81BECCC5-E4E2-DD41-8AA7-98D9064B219C}"/>
    <cellStyle name="Millares" xfId="1" builtinId="3" hidden="1"/>
    <cellStyle name="Millares" xfId="43" xr:uid="{4CB3B6F5-CDEA-5B4A-9725-4544E6C3E959}"/>
    <cellStyle name="Millares [0]" xfId="2" builtinId="6" hidden="1"/>
    <cellStyle name="Moneda" xfId="3" builtinId="4" hidden="1"/>
    <cellStyle name="Moneda [0]" xfId="4" builtinId="7" hidden="1"/>
    <cellStyle name="Normal" xfId="0" builtinId="0"/>
    <cellStyle name="Notas" xfId="60" builtinId="10" customBuiltin="1"/>
    <cellStyle name="Porcentaje" xfId="5" builtinId="5" hidden="1"/>
    <cellStyle name="Porcentaje" xfId="50" xr:uid="{8CFD7DDB-57D2-A747-8106-9DA6F23A44BA}"/>
    <cellStyle name="Ratio" xfId="51" xr:uid="{5F885D09-6C27-D040-AE01-46E7C0994C53}"/>
    <cellStyle name="Referencia" xfId="57" xr:uid="{719B5A24-A0C5-6846-8C01-9C891358188C}"/>
    <cellStyle name="Revisar" xfId="55" xr:uid="{D9057262-D2EE-5142-909B-861008F12610}"/>
    <cellStyle name="Salida" xfId="12" builtinId="21" hidden="1"/>
    <cellStyle name="Seguir aquí" xfId="56" xr:uid="{EDAB289F-CF0A-4947-8E16-927D39093D92}"/>
    <cellStyle name="Subtítulo" xfId="53" xr:uid="{B5245067-A6D1-814A-BB61-87C8937CB0F3}"/>
    <cellStyle name="Subtotal" xfId="52" xr:uid="{B4AC952D-E62E-1448-B86A-A65F58828772}"/>
    <cellStyle name="Super título" xfId="54" xr:uid="{3492EC00-70CB-6343-9106-E67591F5E68A}"/>
    <cellStyle name="Texto de advertencia" xfId="16" builtinId="11" hidden="1"/>
    <cellStyle name="Texto explicativo" xfId="17" builtinId="53" hidden="1"/>
    <cellStyle name="Tit. column." xfId="58" xr:uid="{78E2E715-A7CD-6F4D-B9B4-013548B402F8}"/>
    <cellStyle name="Título" xfId="6" builtinId="15" hidden="1"/>
    <cellStyle name="Título" xfId="45" xr:uid="{EAA398EC-365D-5647-B14F-EC2ADA6B15C4}"/>
    <cellStyle name="Título 2" xfId="8" builtinId="17" hidden="1"/>
    <cellStyle name="Título 3" xfId="9" builtinId="18" hidden="1"/>
    <cellStyle name="Total" xfId="18" builtinId="25" hidde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000000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numFmt numFmtId="174" formatCode="0.00%;\(0.00%\);\-"/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numFmt numFmtId="19" formatCode="d/m/yy"/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A5A5A5"/>
        <name val="Calibri"/>
        <family val="2"/>
        <scheme val="minor"/>
      </font>
      <numFmt numFmtId="164" formatCode="#,##0;\(#,##0\);\-"/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solid">
          <fgColor rgb="FF000000"/>
          <bgColor rgb="FFFFFFFF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numFmt numFmtId="14" formatCode="0.00%"/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numFmt numFmtId="164" formatCode="#,##0;\(#,##0\);\-"/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numFmt numFmtId="19" formatCode="d/m/yy"/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472C4"/>
        <name val="Calibri"/>
        <family val="2"/>
        <scheme val="minor"/>
      </font>
      <fill>
        <patternFill patternType="solid">
          <fgColor rgb="FF000000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EFAD-AC40-5E4B-985F-46B7A4EA1E2B}" name="Tabla1" displayName="Tabla1" ref="B2:W67" totalsRowShown="0" headerRowDxfId="4">
  <autoFilter ref="B2:W67" xr:uid="{1CEAEFAD-AC40-5E4B-985F-46B7A4EA1E2B}"/>
  <tableColumns count="22">
    <tableColumn id="22" xr3:uid="{38A767CA-D024-A94B-8E0A-DA612C97C2A6}" name="ID" dataDxfId="0" dataCellStyle="Edición"/>
    <tableColumn id="1" xr3:uid="{735CEF1E-F9A5-074F-8EE3-B249F25C149C}" name="Centro coste" dataDxfId="19"/>
    <tableColumn id="2" xr3:uid="{AD2C6F75-E458-7044-AEE1-165438388A5A}" name="Alias" dataDxfId="18"/>
    <tableColumn id="3" xr3:uid="{954C959B-6892-E34F-ACC2-09E69BB823DE}" name="Fecha firma" dataDxfId="17"/>
    <tableColumn id="4" xr3:uid="{92DBC0BA-95EC-AF4A-9610-28CAA973F1CD}" name="Duración" dataDxfId="16"/>
    <tableColumn id="5" xr3:uid="{DE275C2E-347F-0040-A546-062DC5EE170E}" name="Importe" dataDxfId="15"/>
    <tableColumn id="6" xr3:uid="{D01EB919-CDF4-7D4D-A1A1-5A1FEA139A90}" name="% interés ordinario" dataDxfId="14"/>
    <tableColumn id="7" xr3:uid="{3247CB0D-F5BE-F543-927C-05F96BDCEF58}" name="% interés demora" dataDxfId="13"/>
    <tableColumn id="8" xr3:uid="{824451B4-B2D3-574C-962C-E8270FEC3C76}" name="Garantía" dataDxfId="12"/>
    <tableColumn id="9" xr3:uid="{742E8D11-0D43-B542-A119-D5C474C021E8}" name="Tipo préstamo" dataDxfId="11"/>
    <tableColumn id="10" xr3:uid="{5FFDD7D2-7428-9E44-97A2-FADF5E9293DC}" name="Intermediario" dataDxfId="10"/>
    <tableColumn id="11" xr3:uid="{C6824299-D56E-954F-AD9B-3E55CB56A7A9}" name="Situación" dataDxfId="9"/>
    <tableColumn id="12" xr3:uid="{A6976F12-83FA-094C-8529-8C3E7132139F}" name="Fecha cancelación" dataDxfId="8"/>
    <tableColumn id="13" xr3:uid="{DC0A8B9B-922F-DC4D-AEDA-1A97CA18C8DE}" name="% apertura" dataDxfId="7"/>
    <tableColumn id="14" xr3:uid="{32A0A02C-823A-7046-85B1-14E8A4B5D87B}" name="Notas" dataDxfId="6"/>
    <tableColumn id="15" xr3:uid="{5A615018-D053-3348-8F1C-644E3BB9843F}" name="Cliente" dataDxfId="5"/>
    <tableColumn id="16" xr3:uid="{E432401F-A62D-2D47-8976-0C5B5D521F27}" name="ID2"/>
    <tableColumn id="17" xr3:uid="{ABCC12EE-68D1-6141-A523-61C02541F05D}" name="Día cobro">
      <calculatedColumnFormula>DAY(E3)</calculatedColumnFormula>
    </tableColumn>
    <tableColumn id="18" xr3:uid="{B28E410D-511D-AA4F-A8BC-A539B60B7558}" name="Periodicidad" dataCellStyle="Edición"/>
    <tableColumn id="19" xr3:uid="{1DFC4EB5-E055-EB42-8E12-25508D3FA060}" name="ordinario" dataDxfId="3">
      <calculatedColumnFormula>Tabla1[[#This Row],[% interés ordinario]]*100</calculatedColumnFormula>
    </tableColumn>
    <tableColumn id="20" xr3:uid="{F98C09CC-6B48-804E-BC8E-4A3537179EC0}" name="demora" dataDxfId="2">
      <calculatedColumnFormula>Tabla1[[#This Row],[% interés demora]]*100</calculatedColumnFormula>
    </tableColumn>
    <tableColumn id="21" xr3:uid="{78AFE2BE-E172-2849-9CE9-442D0CAEC25B}" name="apertura" dataDxfId="1">
      <calculatedColumnFormula>Tabla1[[#This Row],[% apertura]]*100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0C94A7-B2F4-7441-BEFA-39EA47AFA03E}" name="T_Participes" displayName="T_Participes" ref="B2:D8" totalsRowShown="0" dataCellStyle="Edición">
  <autoFilter ref="B2:D8" xr:uid="{540C94A7-B2F4-7441-BEFA-39EA47AFA03E}"/>
  <tableColumns count="3">
    <tableColumn id="3" xr3:uid="{0A60ADCA-E2EA-134E-BF84-55234C5F151C}" name="Columna1" dataCellStyle="Edición"/>
    <tableColumn id="1" xr3:uid="{6D65F89F-F9DB-1840-9539-32C64500D1EC}" name="CC CCPP" dataCellStyle="Edición"/>
    <tableColumn id="2" xr3:uid="{2C99809F-EE47-214A-B421-E9AC6EA7101F}" name="Nombre CCPP" dataCellStyle="Edi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57CB-41D9-0649-B313-73BD565DE982}">
  <dimension ref="B2:P61"/>
  <sheetViews>
    <sheetView showGridLines="0" workbookViewId="0">
      <selection activeCell="H3" sqref="H3:H61"/>
    </sheetView>
  </sheetViews>
  <sheetFormatPr baseColWidth="10" defaultRowHeight="16" x14ac:dyDescent="0.2"/>
  <cols>
    <col min="1" max="1" width="3.33203125" style="1" customWidth="1"/>
    <col min="2" max="2" width="41" style="1" bestFit="1" customWidth="1"/>
    <col min="3" max="3" width="7.33203125" style="1" bestFit="1" customWidth="1"/>
    <col min="4" max="4" width="17.6640625" style="1" customWidth="1"/>
    <col min="5" max="16384" width="10.83203125" style="1"/>
  </cols>
  <sheetData>
    <row r="2" spans="2:16" x14ac:dyDescent="0.2">
      <c r="B2" s="3" t="s">
        <v>0</v>
      </c>
      <c r="C2" s="3" t="s">
        <v>1</v>
      </c>
      <c r="D2" s="3" t="s">
        <v>72</v>
      </c>
      <c r="E2" s="3" t="s">
        <v>69</v>
      </c>
      <c r="G2" s="3" t="s">
        <v>69</v>
      </c>
    </row>
    <row r="3" spans="2:16" x14ac:dyDescent="0.2">
      <c r="B3" s="4" t="s">
        <v>3</v>
      </c>
      <c r="C3" s="4" t="s">
        <v>67</v>
      </c>
      <c r="D3" s="4" t="s">
        <v>208</v>
      </c>
      <c r="E3" s="4" t="s">
        <v>215</v>
      </c>
      <c r="F3" s="1">
        <v>1</v>
      </c>
      <c r="G3" s="4" t="s">
        <v>215</v>
      </c>
      <c r="H3" s="4" t="s">
        <v>3</v>
      </c>
    </row>
    <row r="4" spans="2:16" x14ac:dyDescent="0.2">
      <c r="B4" s="4" t="s">
        <v>5</v>
      </c>
      <c r="C4" s="4" t="s">
        <v>67</v>
      </c>
      <c r="D4" s="4" t="s">
        <v>208</v>
      </c>
      <c r="E4" s="4" t="s">
        <v>216</v>
      </c>
      <c r="F4" s="1">
        <v>2</v>
      </c>
      <c r="G4" s="4" t="s">
        <v>216</v>
      </c>
      <c r="H4" s="4" t="s">
        <v>5</v>
      </c>
    </row>
    <row r="5" spans="2:16" x14ac:dyDescent="0.2">
      <c r="B5" s="4" t="s">
        <v>6</v>
      </c>
      <c r="C5" s="4" t="s">
        <v>67</v>
      </c>
      <c r="D5" s="4" t="s">
        <v>208</v>
      </c>
      <c r="E5" s="4" t="s">
        <v>217</v>
      </c>
      <c r="F5" s="1">
        <v>3</v>
      </c>
      <c r="G5" s="4" t="s">
        <v>217</v>
      </c>
      <c r="H5" s="4" t="s">
        <v>6</v>
      </c>
    </row>
    <row r="6" spans="2:16" x14ac:dyDescent="0.2">
      <c r="B6" s="4" t="s">
        <v>7</v>
      </c>
      <c r="C6" s="4" t="s">
        <v>67</v>
      </c>
      <c r="D6" s="4" t="s">
        <v>208</v>
      </c>
      <c r="E6" s="4" t="s">
        <v>218</v>
      </c>
      <c r="F6" s="1">
        <v>4</v>
      </c>
      <c r="G6" s="4" t="s">
        <v>218</v>
      </c>
      <c r="H6" s="4" t="s">
        <v>7</v>
      </c>
    </row>
    <row r="7" spans="2:16" x14ac:dyDescent="0.2">
      <c r="B7" s="4" t="s">
        <v>8</v>
      </c>
      <c r="C7" s="4" t="s">
        <v>67</v>
      </c>
      <c r="D7" s="4" t="s">
        <v>208</v>
      </c>
      <c r="E7" s="4" t="s">
        <v>219</v>
      </c>
      <c r="F7" s="1">
        <v>5</v>
      </c>
      <c r="G7" s="4" t="s">
        <v>219</v>
      </c>
      <c r="H7" s="4" t="s">
        <v>8</v>
      </c>
    </row>
    <row r="8" spans="2:16" x14ac:dyDescent="0.2">
      <c r="B8" s="4" t="s">
        <v>9</v>
      </c>
      <c r="C8" s="4" t="s">
        <v>67</v>
      </c>
      <c r="D8" s="4" t="s">
        <v>208</v>
      </c>
      <c r="E8" s="4" t="s">
        <v>220</v>
      </c>
      <c r="F8" s="1">
        <v>6</v>
      </c>
      <c r="G8" s="4" t="s">
        <v>220</v>
      </c>
      <c r="H8" s="4" t="s">
        <v>9</v>
      </c>
    </row>
    <row r="9" spans="2:16" x14ac:dyDescent="0.2">
      <c r="B9" s="4" t="s">
        <v>10</v>
      </c>
      <c r="C9" s="4" t="s">
        <v>67</v>
      </c>
      <c r="D9" s="4" t="s">
        <v>208</v>
      </c>
      <c r="E9" s="4" t="s">
        <v>221</v>
      </c>
      <c r="F9" s="1">
        <v>7</v>
      </c>
      <c r="G9" s="4" t="s">
        <v>221</v>
      </c>
      <c r="H9" s="4" t="s">
        <v>10</v>
      </c>
    </row>
    <row r="10" spans="2:16" x14ac:dyDescent="0.2">
      <c r="B10" s="4" t="s">
        <v>11</v>
      </c>
      <c r="C10" s="4" t="s">
        <v>67</v>
      </c>
      <c r="D10" s="4" t="s">
        <v>208</v>
      </c>
      <c r="E10" s="4" t="s">
        <v>222</v>
      </c>
      <c r="F10" s="1">
        <v>8</v>
      </c>
      <c r="G10" s="4" t="s">
        <v>222</v>
      </c>
      <c r="H10" s="4" t="s">
        <v>11</v>
      </c>
    </row>
    <row r="11" spans="2:16" x14ac:dyDescent="0.2">
      <c r="B11" s="4" t="s">
        <v>12</v>
      </c>
      <c r="C11" s="4" t="s">
        <v>67</v>
      </c>
      <c r="D11" s="4" t="s">
        <v>208</v>
      </c>
      <c r="E11" s="4" t="s">
        <v>223</v>
      </c>
      <c r="F11" s="1">
        <v>9</v>
      </c>
      <c r="G11" s="4" t="s">
        <v>223</v>
      </c>
      <c r="H11" s="4" t="s">
        <v>12</v>
      </c>
    </row>
    <row r="12" spans="2:16" x14ac:dyDescent="0.2">
      <c r="B12" s="4" t="s">
        <v>13</v>
      </c>
      <c r="C12" s="4" t="s">
        <v>67</v>
      </c>
      <c r="D12" s="4" t="s">
        <v>208</v>
      </c>
      <c r="E12" s="4" t="s">
        <v>224</v>
      </c>
      <c r="F12" s="1">
        <v>10</v>
      </c>
      <c r="G12" s="4" t="s">
        <v>224</v>
      </c>
      <c r="H12" s="4" t="s">
        <v>13</v>
      </c>
    </row>
    <row r="13" spans="2:16" x14ac:dyDescent="0.2">
      <c r="B13" s="4" t="s">
        <v>14</v>
      </c>
      <c r="C13" s="4" t="s">
        <v>67</v>
      </c>
      <c r="D13" s="4" t="s">
        <v>208</v>
      </c>
      <c r="E13" s="4" t="s">
        <v>225</v>
      </c>
      <c r="F13" s="1">
        <v>11</v>
      </c>
      <c r="G13" s="4" t="s">
        <v>225</v>
      </c>
      <c r="H13" s="4" t="s">
        <v>14</v>
      </c>
      <c r="P13" s="2"/>
    </row>
    <row r="14" spans="2:16" x14ac:dyDescent="0.2">
      <c r="B14" s="4" t="s">
        <v>15</v>
      </c>
      <c r="C14" s="4" t="s">
        <v>67</v>
      </c>
      <c r="D14" s="4" t="s">
        <v>208</v>
      </c>
      <c r="E14" s="4" t="s">
        <v>226</v>
      </c>
      <c r="F14" s="1">
        <v>12</v>
      </c>
      <c r="G14" s="4" t="s">
        <v>226</v>
      </c>
      <c r="H14" s="4" t="s">
        <v>15</v>
      </c>
    </row>
    <row r="15" spans="2:16" x14ac:dyDescent="0.2">
      <c r="B15" s="4" t="s">
        <v>16</v>
      </c>
      <c r="C15" s="4" t="s">
        <v>67</v>
      </c>
      <c r="D15" s="4" t="s">
        <v>208</v>
      </c>
      <c r="E15" s="4" t="s">
        <v>227</v>
      </c>
      <c r="F15" s="1">
        <v>13</v>
      </c>
      <c r="G15" s="4" t="s">
        <v>227</v>
      </c>
      <c r="H15" s="4" t="s">
        <v>16</v>
      </c>
    </row>
    <row r="16" spans="2:16" x14ac:dyDescent="0.2">
      <c r="B16" s="4" t="s">
        <v>17</v>
      </c>
      <c r="C16" s="4" t="s">
        <v>67</v>
      </c>
      <c r="D16" s="4" t="s">
        <v>208</v>
      </c>
      <c r="E16" s="4" t="s">
        <v>228</v>
      </c>
      <c r="F16" s="1">
        <v>14</v>
      </c>
      <c r="G16" s="4" t="s">
        <v>228</v>
      </c>
      <c r="H16" s="4" t="s">
        <v>17</v>
      </c>
    </row>
    <row r="17" spans="2:8" x14ac:dyDescent="0.2">
      <c r="B17" s="4" t="s">
        <v>18</v>
      </c>
      <c r="C17" s="4" t="s">
        <v>67</v>
      </c>
      <c r="D17" s="4" t="s">
        <v>208</v>
      </c>
      <c r="E17" s="4" t="s">
        <v>229</v>
      </c>
      <c r="F17" s="1">
        <v>15</v>
      </c>
      <c r="G17" s="4" t="s">
        <v>229</v>
      </c>
      <c r="H17" s="4" t="s">
        <v>18</v>
      </c>
    </row>
    <row r="18" spans="2:8" x14ac:dyDescent="0.2">
      <c r="B18" s="4" t="s">
        <v>19</v>
      </c>
      <c r="C18" s="4" t="s">
        <v>67</v>
      </c>
      <c r="D18" s="4" t="s">
        <v>208</v>
      </c>
      <c r="E18" s="4" t="s">
        <v>230</v>
      </c>
      <c r="F18" s="1">
        <v>16</v>
      </c>
      <c r="G18" s="4" t="s">
        <v>230</v>
      </c>
      <c r="H18" s="4" t="s">
        <v>19</v>
      </c>
    </row>
    <row r="19" spans="2:8" x14ac:dyDescent="0.2">
      <c r="B19" s="4" t="s">
        <v>20</v>
      </c>
      <c r="C19" s="4" t="s">
        <v>67</v>
      </c>
      <c r="D19" s="4" t="s">
        <v>208</v>
      </c>
      <c r="E19" s="4" t="s">
        <v>231</v>
      </c>
      <c r="F19" s="1">
        <v>17</v>
      </c>
      <c r="G19" s="4" t="s">
        <v>231</v>
      </c>
      <c r="H19" s="4" t="s">
        <v>20</v>
      </c>
    </row>
    <row r="20" spans="2:8" x14ac:dyDescent="0.2">
      <c r="B20" s="4" t="s">
        <v>21</v>
      </c>
      <c r="C20" s="4" t="s">
        <v>67</v>
      </c>
      <c r="D20" s="4" t="s">
        <v>208</v>
      </c>
      <c r="E20" s="4" t="s">
        <v>232</v>
      </c>
      <c r="F20" s="1">
        <v>18</v>
      </c>
      <c r="G20" s="4" t="s">
        <v>232</v>
      </c>
      <c r="H20" s="4" t="s">
        <v>21</v>
      </c>
    </row>
    <row r="21" spans="2:8" x14ac:dyDescent="0.2">
      <c r="B21" s="4" t="s">
        <v>22</v>
      </c>
      <c r="C21" s="4" t="s">
        <v>67</v>
      </c>
      <c r="D21" s="4" t="s">
        <v>208</v>
      </c>
      <c r="E21" s="4" t="s">
        <v>233</v>
      </c>
      <c r="F21" s="1">
        <v>19</v>
      </c>
      <c r="G21" s="4" t="s">
        <v>233</v>
      </c>
      <c r="H21" s="4" t="s">
        <v>22</v>
      </c>
    </row>
    <row r="22" spans="2:8" x14ac:dyDescent="0.2">
      <c r="B22" s="4" t="s">
        <v>23</v>
      </c>
      <c r="C22" s="4" t="s">
        <v>67</v>
      </c>
      <c r="D22" s="4" t="s">
        <v>208</v>
      </c>
      <c r="E22" s="4" t="s">
        <v>234</v>
      </c>
      <c r="F22" s="1">
        <v>20</v>
      </c>
      <c r="G22" s="4" t="s">
        <v>234</v>
      </c>
      <c r="H22" s="4" t="s">
        <v>23</v>
      </c>
    </row>
    <row r="23" spans="2:8" x14ac:dyDescent="0.2">
      <c r="B23" s="4" t="s">
        <v>24</v>
      </c>
      <c r="C23" s="4" t="s">
        <v>67</v>
      </c>
      <c r="D23" s="4" t="s">
        <v>208</v>
      </c>
      <c r="E23" s="4" t="s">
        <v>235</v>
      </c>
      <c r="F23" s="1">
        <v>21</v>
      </c>
      <c r="G23" s="4" t="s">
        <v>235</v>
      </c>
      <c r="H23" s="4" t="s">
        <v>24</v>
      </c>
    </row>
    <row r="24" spans="2:8" x14ac:dyDescent="0.2">
      <c r="B24" s="4" t="s">
        <v>25</v>
      </c>
      <c r="C24" s="4" t="s">
        <v>67</v>
      </c>
      <c r="D24" s="4" t="s">
        <v>208</v>
      </c>
      <c r="E24" s="4" t="s">
        <v>236</v>
      </c>
      <c r="F24" s="1">
        <v>22</v>
      </c>
      <c r="G24" s="4" t="s">
        <v>236</v>
      </c>
      <c r="H24" s="4" t="s">
        <v>25</v>
      </c>
    </row>
    <row r="25" spans="2:8" x14ac:dyDescent="0.2">
      <c r="B25" s="4" t="s">
        <v>26</v>
      </c>
      <c r="C25" s="4" t="s">
        <v>67</v>
      </c>
      <c r="D25" s="4" t="s">
        <v>208</v>
      </c>
      <c r="E25" s="4" t="s">
        <v>237</v>
      </c>
      <c r="F25" s="1">
        <v>23</v>
      </c>
      <c r="G25" s="4" t="s">
        <v>237</v>
      </c>
      <c r="H25" s="4" t="s">
        <v>26</v>
      </c>
    </row>
    <row r="26" spans="2:8" x14ac:dyDescent="0.2">
      <c r="B26" s="4" t="s">
        <v>27</v>
      </c>
      <c r="C26" s="4" t="s">
        <v>67</v>
      </c>
      <c r="D26" s="4" t="s">
        <v>208</v>
      </c>
      <c r="E26" s="4" t="s">
        <v>238</v>
      </c>
      <c r="F26" s="1">
        <v>24</v>
      </c>
      <c r="G26" s="4" t="s">
        <v>238</v>
      </c>
      <c r="H26" s="4" t="s">
        <v>27</v>
      </c>
    </row>
    <row r="27" spans="2:8" x14ac:dyDescent="0.2">
      <c r="B27" s="4" t="s">
        <v>28</v>
      </c>
      <c r="C27" s="4" t="s">
        <v>67</v>
      </c>
      <c r="D27" s="4" t="s">
        <v>208</v>
      </c>
      <c r="E27" s="4" t="s">
        <v>239</v>
      </c>
      <c r="F27" s="1">
        <v>25</v>
      </c>
      <c r="G27" s="4" t="s">
        <v>239</v>
      </c>
      <c r="H27" s="4" t="s">
        <v>28</v>
      </c>
    </row>
    <row r="28" spans="2:8" x14ac:dyDescent="0.2">
      <c r="B28" s="4" t="s">
        <v>29</v>
      </c>
      <c r="C28" s="4" t="s">
        <v>67</v>
      </c>
      <c r="D28" s="4" t="s">
        <v>208</v>
      </c>
      <c r="E28" s="4" t="s">
        <v>240</v>
      </c>
      <c r="F28" s="1">
        <v>26</v>
      </c>
      <c r="G28" s="4" t="s">
        <v>240</v>
      </c>
      <c r="H28" s="4" t="s">
        <v>29</v>
      </c>
    </row>
    <row r="29" spans="2:8" x14ac:dyDescent="0.2">
      <c r="B29" s="4" t="s">
        <v>30</v>
      </c>
      <c r="C29" s="4" t="s">
        <v>67</v>
      </c>
      <c r="D29" s="4" t="s">
        <v>208</v>
      </c>
      <c r="E29" s="4" t="s">
        <v>241</v>
      </c>
      <c r="F29" s="1">
        <v>27</v>
      </c>
      <c r="G29" s="4" t="s">
        <v>241</v>
      </c>
      <c r="H29" s="4" t="s">
        <v>30</v>
      </c>
    </row>
    <row r="30" spans="2:8" x14ac:dyDescent="0.2">
      <c r="B30" s="4" t="s">
        <v>31</v>
      </c>
      <c r="C30" s="4" t="s">
        <v>67</v>
      </c>
      <c r="D30" s="4" t="s">
        <v>208</v>
      </c>
      <c r="E30" s="4" t="s">
        <v>242</v>
      </c>
      <c r="F30" s="1">
        <v>28</v>
      </c>
      <c r="G30" s="4" t="s">
        <v>242</v>
      </c>
      <c r="H30" s="4" t="s">
        <v>31</v>
      </c>
    </row>
    <row r="31" spans="2:8" x14ac:dyDescent="0.2">
      <c r="B31" s="4" t="s">
        <v>32</v>
      </c>
      <c r="C31" s="4" t="s">
        <v>67</v>
      </c>
      <c r="D31" s="4" t="s">
        <v>208</v>
      </c>
      <c r="E31" s="4" t="s">
        <v>243</v>
      </c>
      <c r="F31" s="1">
        <v>29</v>
      </c>
      <c r="G31" s="4" t="s">
        <v>243</v>
      </c>
      <c r="H31" s="4" t="s">
        <v>32</v>
      </c>
    </row>
    <row r="32" spans="2:8" x14ac:dyDescent="0.2">
      <c r="B32" s="4" t="s">
        <v>33</v>
      </c>
      <c r="C32" s="4" t="s">
        <v>67</v>
      </c>
      <c r="D32" s="4" t="s">
        <v>208</v>
      </c>
      <c r="E32" s="4" t="s">
        <v>244</v>
      </c>
      <c r="F32" s="1">
        <v>30</v>
      </c>
      <c r="G32" s="4" t="s">
        <v>244</v>
      </c>
      <c r="H32" s="4" t="s">
        <v>33</v>
      </c>
    </row>
    <row r="33" spans="2:8" x14ac:dyDescent="0.2">
      <c r="B33" s="4" t="s">
        <v>34</v>
      </c>
      <c r="C33" s="4" t="s">
        <v>67</v>
      </c>
      <c r="D33" s="4" t="s">
        <v>208</v>
      </c>
      <c r="E33" s="4" t="s">
        <v>245</v>
      </c>
      <c r="F33" s="1">
        <v>31</v>
      </c>
      <c r="G33" s="4" t="s">
        <v>245</v>
      </c>
      <c r="H33" s="4" t="s">
        <v>34</v>
      </c>
    </row>
    <row r="34" spans="2:8" x14ac:dyDescent="0.2">
      <c r="B34" s="4" t="s">
        <v>35</v>
      </c>
      <c r="C34" s="4" t="s">
        <v>67</v>
      </c>
      <c r="D34" s="4" t="s">
        <v>208</v>
      </c>
      <c r="E34" s="4" t="s">
        <v>246</v>
      </c>
      <c r="F34" s="1">
        <v>32</v>
      </c>
      <c r="G34" s="4" t="s">
        <v>246</v>
      </c>
      <c r="H34" s="4" t="s">
        <v>35</v>
      </c>
    </row>
    <row r="35" spans="2:8" x14ac:dyDescent="0.2">
      <c r="B35" s="4" t="s">
        <v>36</v>
      </c>
      <c r="C35" s="4" t="s">
        <v>67</v>
      </c>
      <c r="D35" s="4" t="s">
        <v>208</v>
      </c>
      <c r="E35" s="4" t="s">
        <v>247</v>
      </c>
      <c r="F35" s="1">
        <v>33</v>
      </c>
      <c r="G35" s="4" t="s">
        <v>247</v>
      </c>
      <c r="H35" s="4" t="s">
        <v>36</v>
      </c>
    </row>
    <row r="36" spans="2:8" x14ac:dyDescent="0.2">
      <c r="B36" s="4" t="s">
        <v>37</v>
      </c>
      <c r="C36" s="4" t="s">
        <v>67</v>
      </c>
      <c r="D36" s="4" t="s">
        <v>208</v>
      </c>
      <c r="E36" s="4" t="s">
        <v>248</v>
      </c>
      <c r="F36" s="1">
        <v>34</v>
      </c>
      <c r="G36" s="4" t="s">
        <v>248</v>
      </c>
      <c r="H36" s="4" t="s">
        <v>37</v>
      </c>
    </row>
    <row r="37" spans="2:8" x14ac:dyDescent="0.2">
      <c r="B37" s="4" t="s">
        <v>38</v>
      </c>
      <c r="C37" s="4" t="s">
        <v>67</v>
      </c>
      <c r="D37" s="4" t="s">
        <v>208</v>
      </c>
      <c r="E37" s="4" t="s">
        <v>249</v>
      </c>
      <c r="F37" s="1">
        <v>35</v>
      </c>
      <c r="G37" s="4" t="s">
        <v>249</v>
      </c>
      <c r="H37" s="4" t="s">
        <v>38</v>
      </c>
    </row>
    <row r="38" spans="2:8" x14ac:dyDescent="0.2">
      <c r="B38" s="4" t="s">
        <v>39</v>
      </c>
      <c r="C38" s="4" t="s">
        <v>67</v>
      </c>
      <c r="D38" s="4" t="s">
        <v>208</v>
      </c>
      <c r="E38" s="4" t="s">
        <v>250</v>
      </c>
      <c r="F38" s="1">
        <v>36</v>
      </c>
      <c r="G38" s="4" t="s">
        <v>250</v>
      </c>
      <c r="H38" s="4" t="s">
        <v>39</v>
      </c>
    </row>
    <row r="39" spans="2:8" x14ac:dyDescent="0.2">
      <c r="B39" s="4" t="s">
        <v>40</v>
      </c>
      <c r="C39" s="4" t="s">
        <v>68</v>
      </c>
      <c r="D39" s="4" t="s">
        <v>209</v>
      </c>
      <c r="E39" s="4" t="s">
        <v>251</v>
      </c>
      <c r="F39" s="1">
        <v>37</v>
      </c>
      <c r="G39" s="4" t="s">
        <v>251</v>
      </c>
      <c r="H39" s="4" t="s">
        <v>40</v>
      </c>
    </row>
    <row r="40" spans="2:8" x14ac:dyDescent="0.2">
      <c r="B40" s="4" t="s">
        <v>42</v>
      </c>
      <c r="C40" s="4" t="s">
        <v>68</v>
      </c>
      <c r="D40" s="4" t="s">
        <v>213</v>
      </c>
      <c r="E40" s="4" t="s">
        <v>273</v>
      </c>
      <c r="F40" s="1">
        <v>38</v>
      </c>
      <c r="G40" s="4" t="s">
        <v>273</v>
      </c>
      <c r="H40" s="4" t="s">
        <v>42</v>
      </c>
    </row>
    <row r="41" spans="2:8" x14ac:dyDescent="0.2">
      <c r="B41" s="4" t="s">
        <v>44</v>
      </c>
      <c r="C41" s="4" t="s">
        <v>68</v>
      </c>
      <c r="D41" s="4" t="s">
        <v>209</v>
      </c>
      <c r="E41" s="4" t="s">
        <v>252</v>
      </c>
      <c r="F41" s="1">
        <v>39</v>
      </c>
      <c r="G41" s="4" t="s">
        <v>252</v>
      </c>
      <c r="H41" s="4" t="s">
        <v>44</v>
      </c>
    </row>
    <row r="42" spans="2:8" x14ac:dyDescent="0.2">
      <c r="B42" s="4" t="s">
        <v>45</v>
      </c>
      <c r="C42" s="4" t="s">
        <v>68</v>
      </c>
      <c r="D42" s="4" t="s">
        <v>209</v>
      </c>
      <c r="E42" s="4" t="s">
        <v>253</v>
      </c>
      <c r="F42" s="1">
        <v>40</v>
      </c>
      <c r="G42" s="4" t="s">
        <v>253</v>
      </c>
      <c r="H42" s="4" t="s">
        <v>45</v>
      </c>
    </row>
    <row r="43" spans="2:8" x14ac:dyDescent="0.2">
      <c r="B43" s="4" t="s">
        <v>46</v>
      </c>
      <c r="C43" s="4" t="s">
        <v>68</v>
      </c>
      <c r="D43" s="4" t="s">
        <v>213</v>
      </c>
      <c r="E43" s="4" t="s">
        <v>254</v>
      </c>
      <c r="F43" s="1">
        <v>41</v>
      </c>
      <c r="G43" s="4" t="s">
        <v>254</v>
      </c>
      <c r="H43" s="4" t="s">
        <v>46</v>
      </c>
    </row>
    <row r="44" spans="2:8" x14ac:dyDescent="0.2">
      <c r="B44" s="4" t="s">
        <v>47</v>
      </c>
      <c r="C44" s="4" t="s">
        <v>68</v>
      </c>
      <c r="D44" s="4" t="s">
        <v>209</v>
      </c>
      <c r="E44" s="4" t="s">
        <v>255</v>
      </c>
      <c r="F44" s="1">
        <v>42</v>
      </c>
      <c r="G44" s="4" t="s">
        <v>255</v>
      </c>
      <c r="H44" s="4" t="s">
        <v>47</v>
      </c>
    </row>
    <row r="45" spans="2:8" x14ac:dyDescent="0.2">
      <c r="B45" s="4" t="s">
        <v>48</v>
      </c>
      <c r="C45" s="4" t="s">
        <v>68</v>
      </c>
      <c r="D45" s="4" t="s">
        <v>209</v>
      </c>
      <c r="E45" s="4" t="s">
        <v>256</v>
      </c>
      <c r="F45" s="1">
        <v>43</v>
      </c>
      <c r="G45" s="4" t="s">
        <v>256</v>
      </c>
      <c r="H45" s="4" t="s">
        <v>48</v>
      </c>
    </row>
    <row r="46" spans="2:8" x14ac:dyDescent="0.2">
      <c r="B46" s="4" t="s">
        <v>49</v>
      </c>
      <c r="C46" s="4" t="s">
        <v>68</v>
      </c>
      <c r="D46" s="4" t="s">
        <v>213</v>
      </c>
      <c r="E46" s="4" t="s">
        <v>257</v>
      </c>
      <c r="F46" s="1">
        <v>44</v>
      </c>
      <c r="G46" s="4" t="s">
        <v>257</v>
      </c>
      <c r="H46" s="4" t="s">
        <v>49</v>
      </c>
    </row>
    <row r="47" spans="2:8" x14ac:dyDescent="0.2">
      <c r="B47" s="4" t="s">
        <v>50</v>
      </c>
      <c r="C47" s="4" t="s">
        <v>68</v>
      </c>
      <c r="D47" s="4" t="s">
        <v>213</v>
      </c>
      <c r="E47" s="4" t="s">
        <v>258</v>
      </c>
      <c r="F47" s="1">
        <v>45</v>
      </c>
      <c r="G47" s="4" t="s">
        <v>258</v>
      </c>
      <c r="H47" s="4" t="s">
        <v>50</v>
      </c>
    </row>
    <row r="48" spans="2:8" x14ac:dyDescent="0.2">
      <c r="B48" s="4" t="s">
        <v>51</v>
      </c>
      <c r="C48" s="4" t="s">
        <v>68</v>
      </c>
      <c r="D48" s="4" t="s">
        <v>209</v>
      </c>
      <c r="E48" s="4" t="s">
        <v>259</v>
      </c>
      <c r="F48" s="1">
        <v>46</v>
      </c>
      <c r="G48" s="4" t="s">
        <v>259</v>
      </c>
      <c r="H48" s="4" t="s">
        <v>51</v>
      </c>
    </row>
    <row r="49" spans="2:8" x14ac:dyDescent="0.2">
      <c r="B49" s="4" t="s">
        <v>52</v>
      </c>
      <c r="C49" s="4" t="s">
        <v>68</v>
      </c>
      <c r="D49" s="4" t="s">
        <v>209</v>
      </c>
      <c r="E49" s="4" t="s">
        <v>260</v>
      </c>
      <c r="F49" s="1">
        <v>47</v>
      </c>
      <c r="G49" s="4" t="s">
        <v>260</v>
      </c>
      <c r="H49" s="4" t="s">
        <v>52</v>
      </c>
    </row>
    <row r="50" spans="2:8" x14ac:dyDescent="0.2">
      <c r="B50" s="4" t="s">
        <v>53</v>
      </c>
      <c r="C50" s="4" t="s">
        <v>68</v>
      </c>
      <c r="D50" s="4" t="s">
        <v>209</v>
      </c>
      <c r="E50" s="4" t="s">
        <v>261</v>
      </c>
      <c r="F50" s="1">
        <v>48</v>
      </c>
      <c r="G50" s="4" t="s">
        <v>261</v>
      </c>
      <c r="H50" s="4" t="s">
        <v>53</v>
      </c>
    </row>
    <row r="51" spans="2:8" x14ac:dyDescent="0.2">
      <c r="B51" s="4" t="s">
        <v>54</v>
      </c>
      <c r="C51" s="4" t="s">
        <v>68</v>
      </c>
      <c r="D51" s="4" t="s">
        <v>213</v>
      </c>
      <c r="E51" s="4" t="s">
        <v>262</v>
      </c>
      <c r="F51" s="1">
        <v>49</v>
      </c>
      <c r="G51" s="4" t="s">
        <v>262</v>
      </c>
      <c r="H51" s="4" t="s">
        <v>54</v>
      </c>
    </row>
    <row r="52" spans="2:8" x14ac:dyDescent="0.2">
      <c r="B52" s="4" t="s">
        <v>55</v>
      </c>
      <c r="C52" s="4" t="s">
        <v>68</v>
      </c>
      <c r="D52" s="4" t="s">
        <v>213</v>
      </c>
      <c r="E52" s="4" t="s">
        <v>263</v>
      </c>
      <c r="F52" s="1">
        <v>50</v>
      </c>
      <c r="G52" s="4" t="s">
        <v>263</v>
      </c>
      <c r="H52" s="4" t="s">
        <v>55</v>
      </c>
    </row>
    <row r="53" spans="2:8" x14ac:dyDescent="0.2">
      <c r="B53" s="4" t="s">
        <v>56</v>
      </c>
      <c r="C53" s="4" t="s">
        <v>68</v>
      </c>
      <c r="D53" s="4" t="s">
        <v>210</v>
      </c>
      <c r="E53" s="4" t="s">
        <v>264</v>
      </c>
      <c r="F53" s="1">
        <v>51</v>
      </c>
      <c r="G53" s="4" t="s">
        <v>264</v>
      </c>
      <c r="H53" s="4" t="s">
        <v>56</v>
      </c>
    </row>
    <row r="54" spans="2:8" x14ac:dyDescent="0.2">
      <c r="B54" s="4" t="s">
        <v>57</v>
      </c>
      <c r="C54" s="4" t="s">
        <v>68</v>
      </c>
      <c r="D54" s="4" t="s">
        <v>213</v>
      </c>
      <c r="E54" s="4" t="s">
        <v>265</v>
      </c>
      <c r="F54" s="1">
        <v>52</v>
      </c>
      <c r="G54" s="4" t="s">
        <v>265</v>
      </c>
      <c r="H54" s="4" t="s">
        <v>57</v>
      </c>
    </row>
    <row r="55" spans="2:8" x14ac:dyDescent="0.2">
      <c r="B55" s="4" t="s">
        <v>58</v>
      </c>
      <c r="C55" s="4" t="s">
        <v>68</v>
      </c>
      <c r="D55" s="4" t="s">
        <v>209</v>
      </c>
      <c r="E55" s="4" t="s">
        <v>266</v>
      </c>
      <c r="F55" s="1">
        <v>53</v>
      </c>
      <c r="G55" s="4" t="s">
        <v>266</v>
      </c>
      <c r="H55" s="4" t="s">
        <v>58</v>
      </c>
    </row>
    <row r="56" spans="2:8" x14ac:dyDescent="0.2">
      <c r="B56" s="4" t="s">
        <v>59</v>
      </c>
      <c r="C56" s="4" t="s">
        <v>68</v>
      </c>
      <c r="D56" s="4" t="s">
        <v>209</v>
      </c>
      <c r="E56" s="4" t="s">
        <v>267</v>
      </c>
      <c r="F56" s="1">
        <v>54</v>
      </c>
      <c r="G56" s="4" t="s">
        <v>267</v>
      </c>
      <c r="H56" s="4" t="s">
        <v>59</v>
      </c>
    </row>
    <row r="57" spans="2:8" x14ac:dyDescent="0.2">
      <c r="B57" s="4" t="s">
        <v>60</v>
      </c>
      <c r="C57" s="4" t="s">
        <v>68</v>
      </c>
      <c r="D57" s="4" t="s">
        <v>213</v>
      </c>
      <c r="E57" s="4" t="s">
        <v>268</v>
      </c>
      <c r="F57" s="1">
        <v>55</v>
      </c>
      <c r="G57" s="4" t="s">
        <v>268</v>
      </c>
      <c r="H57" s="4" t="s">
        <v>60</v>
      </c>
    </row>
    <row r="58" spans="2:8" x14ac:dyDescent="0.2">
      <c r="B58" s="4" t="s">
        <v>61</v>
      </c>
      <c r="C58" s="4" t="s">
        <v>68</v>
      </c>
      <c r="D58" s="4" t="s">
        <v>213</v>
      </c>
      <c r="E58" s="4" t="s">
        <v>269</v>
      </c>
      <c r="F58" s="1">
        <v>56</v>
      </c>
      <c r="G58" s="4" t="s">
        <v>269</v>
      </c>
      <c r="H58" s="4" t="s">
        <v>61</v>
      </c>
    </row>
    <row r="59" spans="2:8" x14ac:dyDescent="0.2">
      <c r="B59" s="4" t="s">
        <v>62</v>
      </c>
      <c r="C59" s="4" t="s">
        <v>68</v>
      </c>
      <c r="D59" s="4" t="s">
        <v>212</v>
      </c>
      <c r="E59" s="4" t="s">
        <v>270</v>
      </c>
      <c r="F59" s="1">
        <v>57</v>
      </c>
      <c r="G59" s="4" t="s">
        <v>270</v>
      </c>
      <c r="H59" s="4" t="s">
        <v>62</v>
      </c>
    </row>
    <row r="60" spans="2:8" x14ac:dyDescent="0.2">
      <c r="B60" s="4" t="s">
        <v>64</v>
      </c>
      <c r="C60" s="4" t="s">
        <v>68</v>
      </c>
      <c r="D60" s="4" t="s">
        <v>211</v>
      </c>
      <c r="E60" s="4" t="s">
        <v>271</v>
      </c>
      <c r="F60" s="1">
        <v>58</v>
      </c>
      <c r="G60" s="4" t="s">
        <v>271</v>
      </c>
      <c r="H60" s="4" t="s">
        <v>64</v>
      </c>
    </row>
    <row r="61" spans="2:8" x14ac:dyDescent="0.2">
      <c r="B61" s="4" t="s">
        <v>66</v>
      </c>
      <c r="C61" s="4" t="s">
        <v>68</v>
      </c>
      <c r="D61" s="4" t="s">
        <v>213</v>
      </c>
      <c r="E61" s="4" t="s">
        <v>272</v>
      </c>
      <c r="F61" s="1">
        <v>59</v>
      </c>
      <c r="G61" s="4" t="s">
        <v>272</v>
      </c>
      <c r="H61" s="4" t="s">
        <v>66</v>
      </c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4545-ECC4-BC4A-8400-E54DFF725640}">
  <dimension ref="B2:D8"/>
  <sheetViews>
    <sheetView showGridLines="0" workbookViewId="0">
      <selection activeCell="D3" sqref="D3:D8"/>
    </sheetView>
  </sheetViews>
  <sheetFormatPr baseColWidth="10" defaultRowHeight="16" x14ac:dyDescent="0.2"/>
  <cols>
    <col min="3" max="3" width="16.5" customWidth="1"/>
  </cols>
  <sheetData>
    <row r="2" spans="2:4" x14ac:dyDescent="0.2">
      <c r="B2" s="3" t="s">
        <v>214</v>
      </c>
      <c r="C2" s="3" t="s">
        <v>70</v>
      </c>
      <c r="D2" s="3" t="s">
        <v>69</v>
      </c>
    </row>
    <row r="3" spans="2:4" x14ac:dyDescent="0.2">
      <c r="B3" s="4">
        <v>1</v>
      </c>
      <c r="C3" s="4" t="s">
        <v>4</v>
      </c>
      <c r="D3" s="4" t="s">
        <v>208</v>
      </c>
    </row>
    <row r="4" spans="2:4" x14ac:dyDescent="0.2">
      <c r="B4" s="4">
        <v>2</v>
      </c>
      <c r="C4" s="4" t="s">
        <v>43</v>
      </c>
      <c r="D4" s="4" t="s">
        <v>213</v>
      </c>
    </row>
    <row r="5" spans="2:4" x14ac:dyDescent="0.2">
      <c r="B5" s="4">
        <v>3</v>
      </c>
      <c r="C5" s="4" t="s">
        <v>41</v>
      </c>
      <c r="D5" s="4" t="s">
        <v>209</v>
      </c>
    </row>
    <row r="6" spans="2:4" x14ac:dyDescent="0.2">
      <c r="B6" s="4">
        <v>4</v>
      </c>
      <c r="C6" s="4" t="s">
        <v>71</v>
      </c>
      <c r="D6" s="4" t="s">
        <v>210</v>
      </c>
    </row>
    <row r="7" spans="2:4" x14ac:dyDescent="0.2">
      <c r="B7" s="4">
        <v>5</v>
      </c>
      <c r="C7" s="4" t="s">
        <v>65</v>
      </c>
      <c r="D7" s="4" t="s">
        <v>211</v>
      </c>
    </row>
    <row r="8" spans="2:4" x14ac:dyDescent="0.2">
      <c r="B8" s="4">
        <v>6</v>
      </c>
      <c r="C8" s="4" t="s">
        <v>63</v>
      </c>
      <c r="D8" s="4" t="s">
        <v>212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8B01-73EF-DE46-818A-BC39FA227EE5}">
  <dimension ref="B2:G66"/>
  <sheetViews>
    <sheetView showGridLines="0" workbookViewId="0">
      <selection activeCell="G3" sqref="G3:G66"/>
    </sheetView>
  </sheetViews>
  <sheetFormatPr baseColWidth="10" defaultRowHeight="16" x14ac:dyDescent="0.2"/>
  <cols>
    <col min="1" max="1" width="4" customWidth="1"/>
    <col min="3" max="3" width="44.83203125" customWidth="1"/>
    <col min="4" max="4" width="22.1640625" customWidth="1"/>
  </cols>
  <sheetData>
    <row r="2" spans="2:7" ht="34" x14ac:dyDescent="0.2">
      <c r="B2" s="5" t="s">
        <v>73</v>
      </c>
      <c r="C2" s="5" t="s">
        <v>203</v>
      </c>
      <c r="D2" s="5" t="s">
        <v>77</v>
      </c>
      <c r="E2" s="31" t="s">
        <v>1</v>
      </c>
      <c r="F2" s="31" t="s">
        <v>205</v>
      </c>
    </row>
    <row r="3" spans="2:7" x14ac:dyDescent="0.2">
      <c r="B3" s="6">
        <v>2001</v>
      </c>
      <c r="C3" s="14" t="s">
        <v>144</v>
      </c>
      <c r="D3" s="9">
        <v>85500</v>
      </c>
      <c r="E3" s="4" t="s">
        <v>204</v>
      </c>
      <c r="F3" s="4">
        <v>1</v>
      </c>
      <c r="G3" t="s">
        <v>274</v>
      </c>
    </row>
    <row r="4" spans="2:7" x14ac:dyDescent="0.2">
      <c r="B4" s="6">
        <v>2002</v>
      </c>
      <c r="C4" s="14" t="s">
        <v>145</v>
      </c>
      <c r="D4" s="9">
        <v>142500</v>
      </c>
      <c r="E4" s="4" t="s">
        <v>204</v>
      </c>
      <c r="F4" s="4">
        <v>2</v>
      </c>
      <c r="G4" t="s">
        <v>275</v>
      </c>
    </row>
    <row r="5" spans="2:7" x14ac:dyDescent="0.2">
      <c r="B5" s="6">
        <v>2003</v>
      </c>
      <c r="C5" s="14" t="s">
        <v>146</v>
      </c>
      <c r="D5" s="9">
        <v>135000</v>
      </c>
      <c r="E5" s="4" t="s">
        <v>204</v>
      </c>
      <c r="F5" s="4">
        <v>3</v>
      </c>
      <c r="G5" t="s">
        <v>276</v>
      </c>
    </row>
    <row r="6" spans="2:7" x14ac:dyDescent="0.2">
      <c r="B6" s="15">
        <v>2004</v>
      </c>
      <c r="C6" s="20" t="s">
        <v>147</v>
      </c>
      <c r="D6" s="17">
        <v>91577</v>
      </c>
      <c r="E6" s="4" t="s">
        <v>204</v>
      </c>
      <c r="F6" s="4">
        <v>4</v>
      </c>
      <c r="G6" t="s">
        <v>277</v>
      </c>
    </row>
    <row r="7" spans="2:7" x14ac:dyDescent="0.2">
      <c r="B7" s="6">
        <v>2005</v>
      </c>
      <c r="C7" s="21" t="s">
        <v>148</v>
      </c>
      <c r="D7" s="9">
        <v>43500</v>
      </c>
      <c r="E7" s="4" t="s">
        <v>204</v>
      </c>
      <c r="F7" s="4">
        <v>5</v>
      </c>
      <c r="G7" t="s">
        <v>278</v>
      </c>
    </row>
    <row r="8" spans="2:7" x14ac:dyDescent="0.2">
      <c r="B8" s="6">
        <v>2006</v>
      </c>
      <c r="C8" s="21" t="s">
        <v>149</v>
      </c>
      <c r="D8" s="9">
        <v>39000</v>
      </c>
      <c r="E8" s="4" t="s">
        <v>204</v>
      </c>
      <c r="F8" s="4">
        <v>6</v>
      </c>
      <c r="G8" t="s">
        <v>279</v>
      </c>
    </row>
    <row r="9" spans="2:7" x14ac:dyDescent="0.2">
      <c r="B9" s="6">
        <v>2007</v>
      </c>
      <c r="C9" s="21" t="s">
        <v>150</v>
      </c>
      <c r="D9" s="9">
        <v>49500</v>
      </c>
      <c r="E9" s="4" t="s">
        <v>204</v>
      </c>
      <c r="F9" s="4">
        <v>7</v>
      </c>
      <c r="G9" t="s">
        <v>280</v>
      </c>
    </row>
    <row r="10" spans="2:7" x14ac:dyDescent="0.2">
      <c r="B10" s="6">
        <v>2008</v>
      </c>
      <c r="C10" s="21" t="s">
        <v>151</v>
      </c>
      <c r="D10" s="9">
        <v>79500</v>
      </c>
      <c r="E10" s="4" t="s">
        <v>204</v>
      </c>
      <c r="F10" s="4">
        <v>8</v>
      </c>
      <c r="G10" t="s">
        <v>281</v>
      </c>
    </row>
    <row r="11" spans="2:7" x14ac:dyDescent="0.2">
      <c r="B11" s="6">
        <v>2009</v>
      </c>
      <c r="C11" s="21" t="s">
        <v>152</v>
      </c>
      <c r="D11" s="9">
        <v>48000</v>
      </c>
      <c r="E11" s="4" t="s">
        <v>204</v>
      </c>
      <c r="F11" s="4">
        <v>9</v>
      </c>
      <c r="G11" t="s">
        <v>282</v>
      </c>
    </row>
    <row r="12" spans="2:7" x14ac:dyDescent="0.2">
      <c r="B12" s="6">
        <v>2010</v>
      </c>
      <c r="C12" s="21" t="s">
        <v>153</v>
      </c>
      <c r="D12" s="9">
        <v>181125</v>
      </c>
      <c r="E12" s="4" t="s">
        <v>204</v>
      </c>
      <c r="F12" s="4">
        <v>10</v>
      </c>
      <c r="G12" t="s">
        <v>283</v>
      </c>
    </row>
    <row r="13" spans="2:7" x14ac:dyDescent="0.2">
      <c r="B13" s="6">
        <v>2011</v>
      </c>
      <c r="C13" s="21" t="s">
        <v>154</v>
      </c>
      <c r="D13" s="9">
        <v>42000</v>
      </c>
      <c r="E13" s="4" t="s">
        <v>204</v>
      </c>
      <c r="F13" s="4">
        <v>11</v>
      </c>
      <c r="G13" t="s">
        <v>284</v>
      </c>
    </row>
    <row r="14" spans="2:7" x14ac:dyDescent="0.2">
      <c r="B14" s="15">
        <v>2012</v>
      </c>
      <c r="C14" s="20" t="s">
        <v>155</v>
      </c>
      <c r="D14" s="17">
        <v>91505</v>
      </c>
      <c r="E14" s="4" t="s">
        <v>204</v>
      </c>
      <c r="F14" s="4">
        <v>12</v>
      </c>
      <c r="G14" t="s">
        <v>285</v>
      </c>
    </row>
    <row r="15" spans="2:7" x14ac:dyDescent="0.2">
      <c r="B15" s="6">
        <v>2013</v>
      </c>
      <c r="C15" s="21" t="s">
        <v>156</v>
      </c>
      <c r="D15" s="9">
        <v>111000</v>
      </c>
      <c r="E15" s="4" t="s">
        <v>204</v>
      </c>
      <c r="F15" s="4">
        <v>13</v>
      </c>
      <c r="G15" t="s">
        <v>286</v>
      </c>
    </row>
    <row r="16" spans="2:7" x14ac:dyDescent="0.2">
      <c r="B16" s="6">
        <v>2014</v>
      </c>
      <c r="C16" s="21" t="s">
        <v>157</v>
      </c>
      <c r="D16" s="9">
        <v>60000</v>
      </c>
      <c r="E16" s="4" t="s">
        <v>204</v>
      </c>
      <c r="F16" s="4">
        <v>14</v>
      </c>
      <c r="G16" t="s">
        <v>287</v>
      </c>
    </row>
    <row r="17" spans="2:7" x14ac:dyDescent="0.2">
      <c r="B17" s="6">
        <v>2015</v>
      </c>
      <c r="C17" s="21" t="s">
        <v>158</v>
      </c>
      <c r="D17" s="9">
        <v>109500</v>
      </c>
      <c r="E17" s="4" t="s">
        <v>204</v>
      </c>
      <c r="F17" s="4">
        <v>15</v>
      </c>
      <c r="G17" t="s">
        <v>288</v>
      </c>
    </row>
    <row r="18" spans="2:7" x14ac:dyDescent="0.2">
      <c r="B18" s="15">
        <v>2016</v>
      </c>
      <c r="C18" s="20" t="s">
        <v>159</v>
      </c>
      <c r="D18" s="17">
        <v>89443</v>
      </c>
      <c r="E18" s="4" t="s">
        <v>204</v>
      </c>
      <c r="F18" s="4">
        <v>16</v>
      </c>
      <c r="G18" t="s">
        <v>289</v>
      </c>
    </row>
    <row r="19" spans="2:7" x14ac:dyDescent="0.2">
      <c r="B19" s="6">
        <v>2017</v>
      </c>
      <c r="C19" s="21" t="s">
        <v>160</v>
      </c>
      <c r="D19" s="9">
        <v>109500</v>
      </c>
      <c r="E19" s="4" t="s">
        <v>204</v>
      </c>
      <c r="F19" s="4">
        <v>17</v>
      </c>
      <c r="G19" t="s">
        <v>290</v>
      </c>
    </row>
    <row r="20" spans="2:7" x14ac:dyDescent="0.2">
      <c r="B20" s="6">
        <v>2018</v>
      </c>
      <c r="C20" s="21" t="s">
        <v>161</v>
      </c>
      <c r="D20" s="9">
        <v>43500</v>
      </c>
      <c r="E20" s="4" t="s">
        <v>204</v>
      </c>
      <c r="F20" s="4">
        <v>18</v>
      </c>
      <c r="G20" t="s">
        <v>291</v>
      </c>
    </row>
    <row r="21" spans="2:7" x14ac:dyDescent="0.2">
      <c r="B21" s="22">
        <v>2019</v>
      </c>
      <c r="C21" s="28" t="s">
        <v>162</v>
      </c>
      <c r="D21" s="25">
        <v>110101</v>
      </c>
      <c r="E21" s="4" t="s">
        <v>204</v>
      </c>
      <c r="F21" s="4">
        <v>19</v>
      </c>
      <c r="G21" t="s">
        <v>292</v>
      </c>
    </row>
    <row r="22" spans="2:7" x14ac:dyDescent="0.2">
      <c r="B22" s="6">
        <v>2020</v>
      </c>
      <c r="C22" s="21" t="s">
        <v>163</v>
      </c>
      <c r="D22" s="9">
        <v>57900</v>
      </c>
      <c r="E22" s="4" t="s">
        <v>204</v>
      </c>
      <c r="F22" s="4">
        <v>20</v>
      </c>
      <c r="G22" t="s">
        <v>293</v>
      </c>
    </row>
    <row r="23" spans="2:7" x14ac:dyDescent="0.2">
      <c r="B23" s="22">
        <v>2021</v>
      </c>
      <c r="C23" s="28" t="s">
        <v>164</v>
      </c>
      <c r="D23" s="25">
        <v>111078</v>
      </c>
      <c r="E23" s="4" t="s">
        <v>204</v>
      </c>
      <c r="F23" s="4">
        <v>21</v>
      </c>
      <c r="G23" t="s">
        <v>294</v>
      </c>
    </row>
    <row r="24" spans="2:7" x14ac:dyDescent="0.2">
      <c r="B24" s="6">
        <v>2022</v>
      </c>
      <c r="C24" s="21" t="s">
        <v>165</v>
      </c>
      <c r="D24" s="9">
        <v>55500</v>
      </c>
      <c r="E24" s="4" t="s">
        <v>204</v>
      </c>
      <c r="F24" s="4">
        <v>22</v>
      </c>
      <c r="G24" t="s">
        <v>295</v>
      </c>
    </row>
    <row r="25" spans="2:7" x14ac:dyDescent="0.2">
      <c r="B25" s="6">
        <v>2023</v>
      </c>
      <c r="C25" s="21" t="s">
        <v>166</v>
      </c>
      <c r="D25" s="9">
        <v>83973</v>
      </c>
      <c r="E25" s="4" t="s">
        <v>204</v>
      </c>
      <c r="F25" s="4">
        <v>23</v>
      </c>
      <c r="G25" t="s">
        <v>296</v>
      </c>
    </row>
    <row r="26" spans="2:7" x14ac:dyDescent="0.2">
      <c r="B26" s="6">
        <v>2024</v>
      </c>
      <c r="C26" s="21" t="s">
        <v>167</v>
      </c>
      <c r="D26" s="9">
        <v>60000</v>
      </c>
      <c r="E26" s="4" t="s">
        <v>204</v>
      </c>
      <c r="F26" s="4">
        <v>24</v>
      </c>
      <c r="G26" t="s">
        <v>297</v>
      </c>
    </row>
    <row r="27" spans="2:7" x14ac:dyDescent="0.2">
      <c r="B27" s="6">
        <v>2025</v>
      </c>
      <c r="C27" s="21" t="s">
        <v>168</v>
      </c>
      <c r="D27" s="9">
        <v>33300</v>
      </c>
      <c r="E27" s="4" t="s">
        <v>204</v>
      </c>
      <c r="F27" s="4">
        <v>25</v>
      </c>
      <c r="G27" t="s">
        <v>298</v>
      </c>
    </row>
    <row r="28" spans="2:7" x14ac:dyDescent="0.2">
      <c r="B28" s="15">
        <v>2026</v>
      </c>
      <c r="C28" s="20" t="s">
        <v>169</v>
      </c>
      <c r="D28" s="17">
        <v>74473</v>
      </c>
      <c r="E28" s="4" t="s">
        <v>204</v>
      </c>
      <c r="F28" s="4">
        <v>26</v>
      </c>
      <c r="G28" t="s">
        <v>299</v>
      </c>
    </row>
    <row r="29" spans="2:7" x14ac:dyDescent="0.2">
      <c r="B29" s="6">
        <v>2027</v>
      </c>
      <c r="C29" s="21" t="s">
        <v>170</v>
      </c>
      <c r="D29" s="9">
        <v>82500</v>
      </c>
      <c r="E29" s="4" t="s">
        <v>204</v>
      </c>
      <c r="F29" s="4">
        <v>27</v>
      </c>
      <c r="G29" t="s">
        <v>300</v>
      </c>
    </row>
    <row r="30" spans="2:7" x14ac:dyDescent="0.2">
      <c r="B30" s="15">
        <v>2028</v>
      </c>
      <c r="C30" s="20" t="s">
        <v>169</v>
      </c>
      <c r="D30" s="17">
        <v>93092</v>
      </c>
      <c r="E30" s="4" t="s">
        <v>204</v>
      </c>
      <c r="F30" s="4">
        <v>28</v>
      </c>
      <c r="G30" t="s">
        <v>301</v>
      </c>
    </row>
    <row r="31" spans="2:7" x14ac:dyDescent="0.2">
      <c r="B31" s="6">
        <v>2029</v>
      </c>
      <c r="C31" s="21" t="s">
        <v>171</v>
      </c>
      <c r="D31" s="9">
        <v>73800</v>
      </c>
      <c r="E31" s="4" t="s">
        <v>204</v>
      </c>
      <c r="F31" s="4">
        <v>29</v>
      </c>
      <c r="G31" t="s">
        <v>302</v>
      </c>
    </row>
    <row r="32" spans="2:7" x14ac:dyDescent="0.2">
      <c r="B32" s="6">
        <v>2030</v>
      </c>
      <c r="C32" s="21" t="s">
        <v>172</v>
      </c>
      <c r="D32" s="9">
        <v>44100</v>
      </c>
      <c r="E32" s="4" t="s">
        <v>204</v>
      </c>
      <c r="F32" s="4">
        <v>30</v>
      </c>
      <c r="G32" t="s">
        <v>303</v>
      </c>
    </row>
    <row r="33" spans="2:7" x14ac:dyDescent="0.2">
      <c r="B33" s="6">
        <v>2031</v>
      </c>
      <c r="C33" s="21" t="s">
        <v>173</v>
      </c>
      <c r="D33" s="9">
        <v>99000</v>
      </c>
      <c r="E33" s="4" t="s">
        <v>204</v>
      </c>
      <c r="F33" s="4">
        <v>31</v>
      </c>
      <c r="G33" t="s">
        <v>304</v>
      </c>
    </row>
    <row r="34" spans="2:7" x14ac:dyDescent="0.2">
      <c r="B34" s="6">
        <v>2032</v>
      </c>
      <c r="C34" s="21" t="s">
        <v>174</v>
      </c>
      <c r="D34" s="9">
        <v>57000</v>
      </c>
      <c r="E34" s="4" t="s">
        <v>204</v>
      </c>
      <c r="F34" s="4">
        <v>32</v>
      </c>
      <c r="G34" t="s">
        <v>305</v>
      </c>
    </row>
    <row r="35" spans="2:7" x14ac:dyDescent="0.2">
      <c r="B35" s="22">
        <v>2033</v>
      </c>
      <c r="C35" s="28" t="s">
        <v>175</v>
      </c>
      <c r="D35" s="25">
        <v>126608</v>
      </c>
      <c r="E35" s="4" t="s">
        <v>204</v>
      </c>
      <c r="F35" s="4">
        <v>33</v>
      </c>
      <c r="G35" t="s">
        <v>306</v>
      </c>
    </row>
    <row r="36" spans="2:7" x14ac:dyDescent="0.2">
      <c r="B36" s="15">
        <v>2034</v>
      </c>
      <c r="C36" s="20" t="s">
        <v>176</v>
      </c>
      <c r="D36" s="17">
        <v>171312</v>
      </c>
      <c r="E36" s="4" t="s">
        <v>204</v>
      </c>
      <c r="F36" s="4">
        <v>34</v>
      </c>
      <c r="G36" t="s">
        <v>307</v>
      </c>
    </row>
    <row r="37" spans="2:7" x14ac:dyDescent="0.2">
      <c r="B37" s="6">
        <v>2035</v>
      </c>
      <c r="C37" s="21" t="s">
        <v>177</v>
      </c>
      <c r="D37" s="9">
        <v>40500</v>
      </c>
      <c r="E37" s="4" t="s">
        <v>204</v>
      </c>
      <c r="F37" s="4">
        <v>35</v>
      </c>
      <c r="G37" t="s">
        <v>308</v>
      </c>
    </row>
    <row r="38" spans="2:7" x14ac:dyDescent="0.2">
      <c r="B38" s="6">
        <v>2036</v>
      </c>
      <c r="C38" s="21" t="s">
        <v>178</v>
      </c>
      <c r="D38" s="9">
        <v>49500</v>
      </c>
      <c r="E38" s="4" t="s">
        <v>204</v>
      </c>
      <c r="F38" s="4">
        <v>36</v>
      </c>
      <c r="G38" t="s">
        <v>309</v>
      </c>
    </row>
    <row r="39" spans="2:7" x14ac:dyDescent="0.2">
      <c r="B39" s="6">
        <v>2037</v>
      </c>
      <c r="C39" s="21" t="s">
        <v>179</v>
      </c>
      <c r="D39" s="9">
        <v>120000</v>
      </c>
      <c r="E39" s="4" t="s">
        <v>204</v>
      </c>
      <c r="F39" s="4">
        <v>37</v>
      </c>
      <c r="G39" t="s">
        <v>310</v>
      </c>
    </row>
    <row r="40" spans="2:7" x14ac:dyDescent="0.2">
      <c r="B40" s="22">
        <v>2038</v>
      </c>
      <c r="C40" s="28" t="s">
        <v>180</v>
      </c>
      <c r="D40" s="25">
        <v>74117</v>
      </c>
      <c r="E40" s="4" t="s">
        <v>204</v>
      </c>
      <c r="F40" s="4">
        <v>38</v>
      </c>
      <c r="G40" t="s">
        <v>311</v>
      </c>
    </row>
    <row r="41" spans="2:7" x14ac:dyDescent="0.2">
      <c r="B41" s="6">
        <v>2040</v>
      </c>
      <c r="C41" s="14" t="s">
        <v>181</v>
      </c>
      <c r="D41" s="9">
        <v>322275</v>
      </c>
      <c r="E41" s="4" t="s">
        <v>204</v>
      </c>
      <c r="F41" s="4">
        <v>39</v>
      </c>
      <c r="G41" t="s">
        <v>312</v>
      </c>
    </row>
    <row r="42" spans="2:7" x14ac:dyDescent="0.2">
      <c r="B42" s="15">
        <v>2041</v>
      </c>
      <c r="C42" s="20" t="s">
        <v>182</v>
      </c>
      <c r="D42" s="17">
        <v>293345</v>
      </c>
      <c r="E42" s="4" t="s">
        <v>204</v>
      </c>
      <c r="F42" s="4">
        <v>40</v>
      </c>
      <c r="G42" t="s">
        <v>313</v>
      </c>
    </row>
    <row r="43" spans="2:7" x14ac:dyDescent="0.2">
      <c r="B43" s="6">
        <v>2043</v>
      </c>
      <c r="C43" s="21" t="s">
        <v>183</v>
      </c>
      <c r="D43" s="9">
        <v>150000</v>
      </c>
      <c r="E43" s="4" t="s">
        <v>204</v>
      </c>
      <c r="F43" s="4">
        <v>42</v>
      </c>
      <c r="G43" t="s">
        <v>314</v>
      </c>
    </row>
    <row r="44" spans="2:7" x14ac:dyDescent="0.2">
      <c r="B44" s="6">
        <v>2044</v>
      </c>
      <c r="C44" s="21" t="s">
        <v>184</v>
      </c>
      <c r="D44" s="9">
        <v>688275</v>
      </c>
      <c r="E44" s="4" t="s">
        <v>204</v>
      </c>
      <c r="F44" s="4">
        <v>43</v>
      </c>
      <c r="G44" t="s">
        <v>315</v>
      </c>
    </row>
    <row r="45" spans="2:7" x14ac:dyDescent="0.2">
      <c r="B45" s="6">
        <v>2045</v>
      </c>
      <c r="C45" s="21" t="s">
        <v>185</v>
      </c>
      <c r="D45" s="9">
        <v>30000</v>
      </c>
      <c r="E45" s="4" t="s">
        <v>204</v>
      </c>
      <c r="F45" s="4">
        <v>44</v>
      </c>
      <c r="G45" t="s">
        <v>316</v>
      </c>
    </row>
    <row r="46" spans="2:7" x14ac:dyDescent="0.2">
      <c r="B46" s="6">
        <v>2046</v>
      </c>
      <c r="C46" s="21" t="s">
        <v>186</v>
      </c>
      <c r="D46" s="9">
        <v>30000</v>
      </c>
      <c r="E46" s="4" t="s">
        <v>204</v>
      </c>
      <c r="F46" s="4">
        <v>45</v>
      </c>
      <c r="G46" t="s">
        <v>317</v>
      </c>
    </row>
    <row r="47" spans="2:7" x14ac:dyDescent="0.2">
      <c r="B47" s="6">
        <v>2047</v>
      </c>
      <c r="C47" s="14" t="s">
        <v>187</v>
      </c>
      <c r="D47" s="9">
        <v>373785</v>
      </c>
      <c r="E47" s="4" t="s">
        <v>204</v>
      </c>
      <c r="F47" s="4">
        <v>46</v>
      </c>
      <c r="G47" t="s">
        <v>318</v>
      </c>
    </row>
    <row r="48" spans="2:7" x14ac:dyDescent="0.2">
      <c r="B48" s="15">
        <v>2048</v>
      </c>
      <c r="C48" s="20" t="s">
        <v>188</v>
      </c>
      <c r="D48" s="17">
        <v>545912</v>
      </c>
      <c r="E48" s="4" t="s">
        <v>204</v>
      </c>
      <c r="F48" s="4">
        <v>47</v>
      </c>
      <c r="G48" t="s">
        <v>319</v>
      </c>
    </row>
    <row r="49" spans="2:7" x14ac:dyDescent="0.2">
      <c r="B49" s="6">
        <v>2049</v>
      </c>
      <c r="C49" s="21" t="s">
        <v>189</v>
      </c>
      <c r="D49" s="9">
        <v>30000</v>
      </c>
      <c r="E49" s="4" t="s">
        <v>204</v>
      </c>
      <c r="F49" s="4">
        <v>48</v>
      </c>
      <c r="G49" t="s">
        <v>320</v>
      </c>
    </row>
    <row r="50" spans="2:7" x14ac:dyDescent="0.2">
      <c r="B50" s="6">
        <v>2050</v>
      </c>
      <c r="C50" s="21" t="s">
        <v>190</v>
      </c>
      <c r="D50" s="9">
        <v>30000</v>
      </c>
      <c r="E50" s="4" t="s">
        <v>204</v>
      </c>
      <c r="F50" s="4">
        <v>49</v>
      </c>
      <c r="G50" t="s">
        <v>321</v>
      </c>
    </row>
    <row r="51" spans="2:7" x14ac:dyDescent="0.2">
      <c r="B51" s="6">
        <v>2051</v>
      </c>
      <c r="C51" s="21" t="s">
        <v>191</v>
      </c>
      <c r="D51" s="9">
        <v>30000</v>
      </c>
      <c r="E51" s="4" t="s">
        <v>204</v>
      </c>
      <c r="F51" s="4">
        <v>50</v>
      </c>
      <c r="G51" t="s">
        <v>322</v>
      </c>
    </row>
    <row r="52" spans="2:7" x14ac:dyDescent="0.2">
      <c r="B52" s="6">
        <v>2053</v>
      </c>
      <c r="C52" s="14" t="s">
        <v>192</v>
      </c>
      <c r="D52" s="9">
        <v>179235</v>
      </c>
      <c r="E52" s="4" t="s">
        <v>204</v>
      </c>
      <c r="F52" s="4">
        <v>51</v>
      </c>
      <c r="G52" t="s">
        <v>323</v>
      </c>
    </row>
    <row r="53" spans="2:7" x14ac:dyDescent="0.2">
      <c r="B53" s="6">
        <v>2054</v>
      </c>
      <c r="C53" s="14" t="s">
        <v>193</v>
      </c>
      <c r="D53" s="9">
        <v>355485</v>
      </c>
      <c r="E53" s="4" t="s">
        <v>204</v>
      </c>
      <c r="F53" s="4">
        <v>52</v>
      </c>
      <c r="G53" t="s">
        <v>324</v>
      </c>
    </row>
    <row r="54" spans="2:7" x14ac:dyDescent="0.2">
      <c r="B54" s="15">
        <v>2055</v>
      </c>
      <c r="C54" s="20" t="s">
        <v>194</v>
      </c>
      <c r="D54" s="17">
        <v>280239</v>
      </c>
      <c r="E54" s="4" t="s">
        <v>204</v>
      </c>
      <c r="F54" s="4">
        <v>53</v>
      </c>
      <c r="G54" t="s">
        <v>325</v>
      </c>
    </row>
    <row r="55" spans="2:7" x14ac:dyDescent="0.2">
      <c r="B55" s="15">
        <v>2056</v>
      </c>
      <c r="C55" s="20" t="s">
        <v>181</v>
      </c>
      <c r="D55" s="17">
        <v>400639</v>
      </c>
      <c r="E55" s="4" t="s">
        <v>204</v>
      </c>
      <c r="F55" s="4">
        <v>54</v>
      </c>
      <c r="G55" t="s">
        <v>326</v>
      </c>
    </row>
    <row r="56" spans="2:7" x14ac:dyDescent="0.2">
      <c r="B56" s="30">
        <v>2057</v>
      </c>
      <c r="C56" s="20" t="s">
        <v>195</v>
      </c>
      <c r="D56" s="17">
        <v>327927</v>
      </c>
      <c r="E56" s="4" t="s">
        <v>204</v>
      </c>
      <c r="F56" s="4">
        <v>55</v>
      </c>
      <c r="G56" t="s">
        <v>327</v>
      </c>
    </row>
    <row r="57" spans="2:7" x14ac:dyDescent="0.2">
      <c r="B57" s="15">
        <v>2058</v>
      </c>
      <c r="C57" s="20" t="s">
        <v>196</v>
      </c>
      <c r="D57" s="17">
        <v>50594</v>
      </c>
      <c r="E57" s="4" t="s">
        <v>204</v>
      </c>
      <c r="F57" s="4">
        <v>56</v>
      </c>
      <c r="G57" t="s">
        <v>328</v>
      </c>
    </row>
    <row r="58" spans="2:7" x14ac:dyDescent="0.2">
      <c r="B58" s="15">
        <v>2059</v>
      </c>
      <c r="C58" s="20" t="s">
        <v>197</v>
      </c>
      <c r="D58" s="17">
        <v>55051</v>
      </c>
      <c r="E58" s="4" t="s">
        <v>204</v>
      </c>
      <c r="F58" s="4">
        <v>57</v>
      </c>
      <c r="G58" t="s">
        <v>329</v>
      </c>
    </row>
    <row r="59" spans="2:7" x14ac:dyDescent="0.2">
      <c r="B59" s="30">
        <v>2060</v>
      </c>
      <c r="C59" s="20" t="s">
        <v>198</v>
      </c>
      <c r="D59" s="17">
        <v>298382</v>
      </c>
      <c r="E59" s="4" t="s">
        <v>204</v>
      </c>
      <c r="F59" s="4">
        <v>58</v>
      </c>
      <c r="G59" t="s">
        <v>330</v>
      </c>
    </row>
    <row r="60" spans="2:7" x14ac:dyDescent="0.2">
      <c r="B60" s="30">
        <v>2061</v>
      </c>
      <c r="C60" s="20" t="s">
        <v>199</v>
      </c>
      <c r="D60" s="17">
        <v>335500</v>
      </c>
      <c r="E60" s="4" t="s">
        <v>204</v>
      </c>
      <c r="F60" s="4">
        <v>59</v>
      </c>
      <c r="G60" t="s">
        <v>331</v>
      </c>
    </row>
    <row r="61" spans="2:7" x14ac:dyDescent="0.2">
      <c r="B61" s="30">
        <v>2062</v>
      </c>
      <c r="C61" s="20" t="s">
        <v>198</v>
      </c>
      <c r="D61" s="17">
        <v>1202665</v>
      </c>
      <c r="E61" s="4" t="s">
        <v>204</v>
      </c>
      <c r="F61" s="4">
        <v>60</v>
      </c>
      <c r="G61" t="s">
        <v>332</v>
      </c>
    </row>
    <row r="62" spans="2:7" x14ac:dyDescent="0.2">
      <c r="B62" s="30">
        <v>2063</v>
      </c>
      <c r="C62" s="20" t="s">
        <v>200</v>
      </c>
      <c r="D62" s="17">
        <v>2106785</v>
      </c>
      <c r="E62" s="4" t="s">
        <v>204</v>
      </c>
      <c r="F62" s="4">
        <v>61</v>
      </c>
      <c r="G62" t="s">
        <v>333</v>
      </c>
    </row>
    <row r="63" spans="2:7" x14ac:dyDescent="0.2">
      <c r="B63" s="30">
        <v>2064</v>
      </c>
      <c r="C63" s="20" t="s">
        <v>181</v>
      </c>
      <c r="D63" s="17">
        <v>427170</v>
      </c>
      <c r="E63" s="4" t="s">
        <v>204</v>
      </c>
      <c r="F63" s="4">
        <v>62</v>
      </c>
      <c r="G63" t="s">
        <v>334</v>
      </c>
    </row>
    <row r="64" spans="2:7" x14ac:dyDescent="0.2">
      <c r="B64" s="30">
        <v>2065</v>
      </c>
      <c r="C64" s="20" t="s">
        <v>198</v>
      </c>
      <c r="D64" s="17">
        <v>350766</v>
      </c>
      <c r="E64" s="4" t="s">
        <v>204</v>
      </c>
      <c r="F64" s="4">
        <v>63</v>
      </c>
      <c r="G64" t="s">
        <v>335</v>
      </c>
    </row>
    <row r="65" spans="2:7" x14ac:dyDescent="0.2">
      <c r="B65" s="30">
        <v>2066</v>
      </c>
      <c r="C65" s="20" t="s">
        <v>201</v>
      </c>
      <c r="D65" s="17">
        <v>495721</v>
      </c>
      <c r="E65" s="4" t="s">
        <v>204</v>
      </c>
      <c r="F65" s="4">
        <v>64</v>
      </c>
      <c r="G65" t="s">
        <v>336</v>
      </c>
    </row>
    <row r="66" spans="2:7" x14ac:dyDescent="0.2">
      <c r="B66" s="15">
        <v>2067</v>
      </c>
      <c r="C66" s="20" t="s">
        <v>202</v>
      </c>
      <c r="D66" s="17">
        <v>2483972</v>
      </c>
      <c r="E66" s="4" t="s">
        <v>204</v>
      </c>
      <c r="F66" s="4">
        <v>65</v>
      </c>
      <c r="G66" t="s">
        <v>337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57B0-EB7E-A443-A36E-BD1094CF422B}">
  <dimension ref="B2:W67"/>
  <sheetViews>
    <sheetView showGridLines="0" tabSelected="1" topLeftCell="K1" workbookViewId="0">
      <selection activeCell="R24" sqref="R24"/>
    </sheetView>
  </sheetViews>
  <sheetFormatPr baseColWidth="10" defaultRowHeight="16" x14ac:dyDescent="0.2"/>
  <cols>
    <col min="2" max="2" width="13.6640625" customWidth="1"/>
    <col min="3" max="3" width="27.1640625" customWidth="1"/>
    <col min="4" max="4" width="13.33203125" customWidth="1"/>
    <col min="7" max="7" width="19" customWidth="1"/>
    <col min="8" max="8" width="18" customWidth="1"/>
    <col min="10" max="10" width="15.33203125" customWidth="1"/>
    <col min="11" max="11" width="14.6640625" customWidth="1"/>
    <col min="12" max="12" width="11" customWidth="1"/>
    <col min="13" max="13" width="18.33203125" customWidth="1"/>
    <col min="14" max="14" width="12.5" customWidth="1"/>
    <col min="16" max="16" width="10.33203125" customWidth="1"/>
    <col min="17" max="17" width="11.5" bestFit="1" customWidth="1"/>
    <col min="18" max="18" width="11.33203125" customWidth="1"/>
    <col min="19" max="19" width="13.5" customWidth="1"/>
    <col min="23" max="23" width="27.1640625" customWidth="1"/>
  </cols>
  <sheetData>
    <row r="2" spans="2:23" ht="34" x14ac:dyDescent="0.2">
      <c r="B2" s="32" t="s">
        <v>69</v>
      </c>
      <c r="C2" s="5" t="s">
        <v>73</v>
      </c>
      <c r="D2" s="5" t="s">
        <v>142</v>
      </c>
      <c r="E2" s="5" t="s">
        <v>143</v>
      </c>
      <c r="F2" s="5" t="s">
        <v>81</v>
      </c>
      <c r="G2" s="5" t="s">
        <v>74</v>
      </c>
      <c r="H2" s="5" t="s">
        <v>75</v>
      </c>
      <c r="I2" s="5" t="s">
        <v>76</v>
      </c>
      <c r="J2" s="5" t="s">
        <v>77</v>
      </c>
      <c r="K2" s="5" t="s">
        <v>78</v>
      </c>
      <c r="L2" s="5" t="s">
        <v>2</v>
      </c>
      <c r="M2" s="5" t="s">
        <v>79</v>
      </c>
      <c r="N2" s="5" t="s">
        <v>80</v>
      </c>
      <c r="O2" s="5" t="s">
        <v>82</v>
      </c>
      <c r="P2" s="5" t="s">
        <v>206</v>
      </c>
      <c r="Q2" s="5" t="s">
        <v>207</v>
      </c>
      <c r="R2" s="32" t="s">
        <v>413</v>
      </c>
      <c r="S2" s="32" t="s">
        <v>404</v>
      </c>
      <c r="T2" s="32" t="s">
        <v>405</v>
      </c>
      <c r="U2" s="32" t="s">
        <v>410</v>
      </c>
      <c r="V2" s="32" t="s">
        <v>411</v>
      </c>
      <c r="W2" s="32" t="s">
        <v>412</v>
      </c>
    </row>
    <row r="3" spans="2:23" x14ac:dyDescent="0.2">
      <c r="B3" s="4" t="s">
        <v>339</v>
      </c>
      <c r="C3" s="6">
        <v>2001</v>
      </c>
      <c r="D3" s="7" t="s">
        <v>83</v>
      </c>
      <c r="E3" s="8">
        <v>42883</v>
      </c>
      <c r="F3" s="7">
        <v>120</v>
      </c>
      <c r="G3" s="9">
        <v>28500</v>
      </c>
      <c r="H3" s="10">
        <v>0.12</v>
      </c>
      <c r="I3" s="10">
        <v>0.15</v>
      </c>
      <c r="J3" s="9" t="s">
        <v>274</v>
      </c>
      <c r="K3" s="7" t="s">
        <v>84</v>
      </c>
      <c r="L3" s="7" t="s">
        <v>208</v>
      </c>
      <c r="M3" s="7" t="s">
        <v>85</v>
      </c>
      <c r="N3" s="8">
        <v>45770</v>
      </c>
      <c r="O3" s="12">
        <v>0</v>
      </c>
      <c r="P3" s="13"/>
      <c r="Q3" s="14" t="s">
        <v>215</v>
      </c>
      <c r="R3" t="s">
        <v>339</v>
      </c>
      <c r="S3">
        <f>DAY(E3)</f>
        <v>28</v>
      </c>
      <c r="T3" s="4" t="s">
        <v>406</v>
      </c>
      <c r="U3">
        <f>Tabla1[[#This Row],[% interés ordinario]]*100</f>
        <v>12</v>
      </c>
      <c r="V3">
        <f>Tabla1[[#This Row],[% interés demora]]*100</f>
        <v>15</v>
      </c>
      <c r="W3">
        <f>Tabla1[[#This Row],[% apertura]]*100</f>
        <v>0</v>
      </c>
    </row>
    <row r="4" spans="2:23" x14ac:dyDescent="0.2">
      <c r="B4" s="4" t="s">
        <v>340</v>
      </c>
      <c r="C4" s="6">
        <v>2002</v>
      </c>
      <c r="D4" s="7" t="s">
        <v>86</v>
      </c>
      <c r="E4" s="8">
        <v>43003</v>
      </c>
      <c r="F4" s="7">
        <v>132</v>
      </c>
      <c r="G4" s="9">
        <v>47500</v>
      </c>
      <c r="H4" s="10">
        <v>0.125</v>
      </c>
      <c r="I4" s="10">
        <v>0.14499999999999999</v>
      </c>
      <c r="J4" s="9" t="s">
        <v>275</v>
      </c>
      <c r="K4" s="7" t="s">
        <v>84</v>
      </c>
      <c r="L4" s="7" t="s">
        <v>208</v>
      </c>
      <c r="M4" s="7" t="s">
        <v>85</v>
      </c>
      <c r="N4" s="8">
        <v>43532</v>
      </c>
      <c r="O4" s="12">
        <v>0</v>
      </c>
      <c r="P4" s="13"/>
      <c r="Q4" s="14" t="s">
        <v>216</v>
      </c>
      <c r="R4" t="s">
        <v>340</v>
      </c>
      <c r="S4">
        <f t="shared" ref="S4:S67" si="0">DAY(E4)</f>
        <v>25</v>
      </c>
      <c r="T4" s="4" t="s">
        <v>406</v>
      </c>
      <c r="U4">
        <f>Tabla1[[#This Row],[% interés ordinario]]*100</f>
        <v>12.5</v>
      </c>
      <c r="V4">
        <f>Tabla1[[#This Row],[% interés demora]]*100</f>
        <v>14.499999999999998</v>
      </c>
      <c r="W4">
        <f>Tabla1[[#This Row],[% apertura]]*100</f>
        <v>0</v>
      </c>
    </row>
    <row r="5" spans="2:23" x14ac:dyDescent="0.2">
      <c r="B5" s="4" t="s">
        <v>341</v>
      </c>
      <c r="C5" s="6">
        <v>2003</v>
      </c>
      <c r="D5" s="7" t="s">
        <v>87</v>
      </c>
      <c r="E5" s="8">
        <v>43041</v>
      </c>
      <c r="F5" s="7">
        <v>120</v>
      </c>
      <c r="G5" s="9">
        <v>45000</v>
      </c>
      <c r="H5" s="10">
        <v>0.125</v>
      </c>
      <c r="I5" s="10">
        <v>0.155</v>
      </c>
      <c r="J5" s="9" t="s">
        <v>276</v>
      </c>
      <c r="K5" s="7" t="s">
        <v>84</v>
      </c>
      <c r="L5" s="7" t="s">
        <v>208</v>
      </c>
      <c r="M5" s="7" t="s">
        <v>85</v>
      </c>
      <c r="N5" s="8">
        <v>44542</v>
      </c>
      <c r="O5" s="12">
        <v>0</v>
      </c>
      <c r="P5" s="13"/>
      <c r="Q5" s="14" t="s">
        <v>217</v>
      </c>
      <c r="R5" t="s">
        <v>341</v>
      </c>
      <c r="S5">
        <f t="shared" si="0"/>
        <v>2</v>
      </c>
      <c r="T5" s="4" t="s">
        <v>406</v>
      </c>
      <c r="U5">
        <f>Tabla1[[#This Row],[% interés ordinario]]*100</f>
        <v>12.5</v>
      </c>
      <c r="V5">
        <f>Tabla1[[#This Row],[% interés demora]]*100</f>
        <v>15.5</v>
      </c>
      <c r="W5">
        <f>Tabla1[[#This Row],[% apertura]]*100</f>
        <v>0</v>
      </c>
    </row>
    <row r="6" spans="2:23" x14ac:dyDescent="0.2">
      <c r="B6" s="4" t="s">
        <v>342</v>
      </c>
      <c r="C6" s="15">
        <v>2004</v>
      </c>
      <c r="D6" s="13" t="s">
        <v>88</v>
      </c>
      <c r="E6" s="16">
        <v>43040</v>
      </c>
      <c r="F6" s="13">
        <v>120</v>
      </c>
      <c r="G6" s="17">
        <v>24000</v>
      </c>
      <c r="H6" s="18">
        <v>0.15</v>
      </c>
      <c r="I6" s="18">
        <v>0.17</v>
      </c>
      <c r="J6" s="9" t="s">
        <v>277</v>
      </c>
      <c r="K6" s="13" t="s">
        <v>84</v>
      </c>
      <c r="L6" s="13" t="s">
        <v>208</v>
      </c>
      <c r="M6" s="13" t="s">
        <v>89</v>
      </c>
      <c r="N6" s="16"/>
      <c r="O6" s="19">
        <v>0</v>
      </c>
      <c r="P6" s="13"/>
      <c r="Q6" s="20" t="s">
        <v>218</v>
      </c>
      <c r="R6" t="s">
        <v>342</v>
      </c>
      <c r="S6">
        <f t="shared" si="0"/>
        <v>1</v>
      </c>
      <c r="T6" s="4" t="s">
        <v>406</v>
      </c>
      <c r="U6">
        <f>Tabla1[[#This Row],[% interés ordinario]]*100</f>
        <v>15</v>
      </c>
      <c r="V6">
        <f>Tabla1[[#This Row],[% interés demora]]*100</f>
        <v>17</v>
      </c>
      <c r="W6">
        <f>Tabla1[[#This Row],[% apertura]]*100</f>
        <v>0</v>
      </c>
    </row>
    <row r="7" spans="2:23" x14ac:dyDescent="0.2">
      <c r="B7" s="4" t="s">
        <v>343</v>
      </c>
      <c r="C7" s="6">
        <v>2005</v>
      </c>
      <c r="D7" s="7" t="s">
        <v>90</v>
      </c>
      <c r="E7" s="8">
        <v>43054</v>
      </c>
      <c r="F7" s="7">
        <v>12</v>
      </c>
      <c r="G7" s="9">
        <v>14500</v>
      </c>
      <c r="H7" s="10">
        <v>0.15</v>
      </c>
      <c r="I7" s="10">
        <v>0.17</v>
      </c>
      <c r="J7" s="9" t="s">
        <v>278</v>
      </c>
      <c r="K7" s="7" t="s">
        <v>84</v>
      </c>
      <c r="L7" s="7" t="s">
        <v>208</v>
      </c>
      <c r="M7" s="7" t="s">
        <v>85</v>
      </c>
      <c r="N7" s="8">
        <v>43496</v>
      </c>
      <c r="O7" s="12">
        <v>0</v>
      </c>
      <c r="P7" s="13"/>
      <c r="Q7" s="21" t="s">
        <v>219</v>
      </c>
      <c r="R7" t="s">
        <v>343</v>
      </c>
      <c r="S7">
        <f t="shared" si="0"/>
        <v>15</v>
      </c>
      <c r="T7" s="4" t="s">
        <v>406</v>
      </c>
      <c r="U7">
        <f>Tabla1[[#This Row],[% interés ordinario]]*100</f>
        <v>15</v>
      </c>
      <c r="V7">
        <f>Tabla1[[#This Row],[% interés demora]]*100</f>
        <v>17</v>
      </c>
      <c r="W7">
        <f>Tabla1[[#This Row],[% apertura]]*100</f>
        <v>0</v>
      </c>
    </row>
    <row r="8" spans="2:23" x14ac:dyDescent="0.2">
      <c r="B8" s="4" t="s">
        <v>344</v>
      </c>
      <c r="C8" s="6">
        <v>2006</v>
      </c>
      <c r="D8" s="7" t="s">
        <v>91</v>
      </c>
      <c r="E8" s="8">
        <v>43055</v>
      </c>
      <c r="F8" s="7">
        <v>120</v>
      </c>
      <c r="G8" s="9">
        <v>13000</v>
      </c>
      <c r="H8" s="10">
        <v>0.15</v>
      </c>
      <c r="I8" s="10">
        <v>0.17</v>
      </c>
      <c r="J8" s="9" t="s">
        <v>279</v>
      </c>
      <c r="K8" s="7" t="s">
        <v>84</v>
      </c>
      <c r="L8" s="7" t="s">
        <v>208</v>
      </c>
      <c r="M8" s="7" t="s">
        <v>85</v>
      </c>
      <c r="N8" s="8">
        <v>45188</v>
      </c>
      <c r="O8" s="12">
        <v>0</v>
      </c>
      <c r="P8" s="13"/>
      <c r="Q8" s="21" t="s">
        <v>220</v>
      </c>
      <c r="R8" t="s">
        <v>344</v>
      </c>
      <c r="S8">
        <f t="shared" si="0"/>
        <v>16</v>
      </c>
      <c r="T8" s="4" t="s">
        <v>406</v>
      </c>
      <c r="U8">
        <f>Tabla1[[#This Row],[% interés ordinario]]*100</f>
        <v>15</v>
      </c>
      <c r="V8">
        <f>Tabla1[[#This Row],[% interés demora]]*100</f>
        <v>17</v>
      </c>
      <c r="W8">
        <f>Tabla1[[#This Row],[% apertura]]*100</f>
        <v>0</v>
      </c>
    </row>
    <row r="9" spans="2:23" x14ac:dyDescent="0.2">
      <c r="B9" s="4" t="s">
        <v>345</v>
      </c>
      <c r="C9" s="6">
        <v>2007</v>
      </c>
      <c r="D9" s="7" t="s">
        <v>92</v>
      </c>
      <c r="E9" s="8">
        <v>43055</v>
      </c>
      <c r="F9" s="7">
        <v>60</v>
      </c>
      <c r="G9" s="9">
        <v>16500</v>
      </c>
      <c r="H9" s="10">
        <v>0.15</v>
      </c>
      <c r="I9" s="10">
        <v>0.17</v>
      </c>
      <c r="J9" s="9" t="s">
        <v>280</v>
      </c>
      <c r="K9" s="7" t="s">
        <v>84</v>
      </c>
      <c r="L9" s="7" t="s">
        <v>208</v>
      </c>
      <c r="M9" s="7" t="s">
        <v>85</v>
      </c>
      <c r="N9" s="8">
        <v>43171</v>
      </c>
      <c r="O9" s="12">
        <v>0</v>
      </c>
      <c r="P9" s="13"/>
      <c r="Q9" s="21" t="s">
        <v>221</v>
      </c>
      <c r="R9" t="s">
        <v>345</v>
      </c>
      <c r="S9">
        <f t="shared" si="0"/>
        <v>16</v>
      </c>
      <c r="T9" s="4" t="s">
        <v>406</v>
      </c>
      <c r="U9">
        <f>Tabla1[[#This Row],[% interés ordinario]]*100</f>
        <v>15</v>
      </c>
      <c r="V9">
        <f>Tabla1[[#This Row],[% interés demora]]*100</f>
        <v>17</v>
      </c>
      <c r="W9">
        <f>Tabla1[[#This Row],[% apertura]]*100</f>
        <v>0</v>
      </c>
    </row>
    <row r="10" spans="2:23" x14ac:dyDescent="0.2">
      <c r="B10" s="4" t="s">
        <v>346</v>
      </c>
      <c r="C10" s="6">
        <v>2008</v>
      </c>
      <c r="D10" s="7" t="s">
        <v>93</v>
      </c>
      <c r="E10" s="8">
        <v>42797</v>
      </c>
      <c r="F10" s="7">
        <v>120</v>
      </c>
      <c r="G10" s="9">
        <v>26500</v>
      </c>
      <c r="H10" s="10">
        <v>0.15</v>
      </c>
      <c r="I10" s="10">
        <v>0.17</v>
      </c>
      <c r="J10" s="9" t="s">
        <v>281</v>
      </c>
      <c r="K10" s="7" t="s">
        <v>84</v>
      </c>
      <c r="L10" s="7" t="s">
        <v>208</v>
      </c>
      <c r="M10" s="7" t="s">
        <v>85</v>
      </c>
      <c r="N10" s="8">
        <v>43090</v>
      </c>
      <c r="O10" s="12">
        <v>0</v>
      </c>
      <c r="P10" s="13"/>
      <c r="Q10" s="21" t="s">
        <v>222</v>
      </c>
      <c r="R10" t="s">
        <v>346</v>
      </c>
      <c r="S10">
        <f t="shared" si="0"/>
        <v>3</v>
      </c>
      <c r="T10" s="4" t="s">
        <v>406</v>
      </c>
      <c r="U10">
        <f>Tabla1[[#This Row],[% interés ordinario]]*100</f>
        <v>15</v>
      </c>
      <c r="V10">
        <f>Tabla1[[#This Row],[% interés demora]]*100</f>
        <v>17</v>
      </c>
      <c r="W10">
        <f>Tabla1[[#This Row],[% apertura]]*100</f>
        <v>0</v>
      </c>
    </row>
    <row r="11" spans="2:23" x14ac:dyDescent="0.2">
      <c r="B11" s="4" t="s">
        <v>347</v>
      </c>
      <c r="C11" s="6">
        <v>2009</v>
      </c>
      <c r="D11" s="7" t="s">
        <v>12</v>
      </c>
      <c r="E11" s="8">
        <v>42648</v>
      </c>
      <c r="F11" s="7">
        <v>36</v>
      </c>
      <c r="G11" s="9">
        <v>16000</v>
      </c>
      <c r="H11" s="10">
        <v>0.125</v>
      </c>
      <c r="I11" s="10">
        <v>0.125</v>
      </c>
      <c r="J11" s="9" t="s">
        <v>282</v>
      </c>
      <c r="K11" s="7" t="s">
        <v>94</v>
      </c>
      <c r="L11" s="7" t="s">
        <v>208</v>
      </c>
      <c r="M11" s="7" t="s">
        <v>85</v>
      </c>
      <c r="N11" s="8">
        <v>43586</v>
      </c>
      <c r="O11" s="12">
        <v>0</v>
      </c>
      <c r="P11" s="13"/>
      <c r="Q11" s="21" t="s">
        <v>223</v>
      </c>
      <c r="R11" t="s">
        <v>347</v>
      </c>
      <c r="S11">
        <f t="shared" si="0"/>
        <v>5</v>
      </c>
      <c r="T11" s="4" t="s">
        <v>406</v>
      </c>
      <c r="U11">
        <f>Tabla1[[#This Row],[% interés ordinario]]*100</f>
        <v>12.5</v>
      </c>
      <c r="V11">
        <f>Tabla1[[#This Row],[% interés demora]]*100</f>
        <v>12.5</v>
      </c>
      <c r="W11">
        <f>Tabla1[[#This Row],[% apertura]]*100</f>
        <v>0</v>
      </c>
    </row>
    <row r="12" spans="2:23" x14ac:dyDescent="0.2">
      <c r="B12" s="4" t="s">
        <v>348</v>
      </c>
      <c r="C12" s="6">
        <v>2010</v>
      </c>
      <c r="D12" s="7" t="s">
        <v>95</v>
      </c>
      <c r="E12" s="8">
        <v>43151</v>
      </c>
      <c r="F12" s="7">
        <v>12</v>
      </c>
      <c r="G12" s="9">
        <v>60375</v>
      </c>
      <c r="H12" s="10">
        <v>0.15</v>
      </c>
      <c r="I12" s="10">
        <v>0.17</v>
      </c>
      <c r="J12" s="9" t="s">
        <v>283</v>
      </c>
      <c r="K12" s="7" t="s">
        <v>84</v>
      </c>
      <c r="L12" s="7" t="s">
        <v>208</v>
      </c>
      <c r="M12" s="7" t="s">
        <v>85</v>
      </c>
      <c r="N12" s="8">
        <v>43742</v>
      </c>
      <c r="O12" s="12">
        <v>0</v>
      </c>
      <c r="P12" s="13"/>
      <c r="Q12" s="21" t="s">
        <v>224</v>
      </c>
      <c r="R12" t="s">
        <v>348</v>
      </c>
      <c r="S12">
        <f t="shared" si="0"/>
        <v>20</v>
      </c>
      <c r="T12" s="4" t="s">
        <v>406</v>
      </c>
      <c r="U12">
        <f>Tabla1[[#This Row],[% interés ordinario]]*100</f>
        <v>15</v>
      </c>
      <c r="V12">
        <f>Tabla1[[#This Row],[% interés demora]]*100</f>
        <v>17</v>
      </c>
      <c r="W12">
        <f>Tabla1[[#This Row],[% apertura]]*100</f>
        <v>0</v>
      </c>
    </row>
    <row r="13" spans="2:23" x14ac:dyDescent="0.2">
      <c r="B13" s="4" t="s">
        <v>349</v>
      </c>
      <c r="C13" s="6">
        <v>2011</v>
      </c>
      <c r="D13" s="7" t="s">
        <v>96</v>
      </c>
      <c r="E13" s="8">
        <v>43167</v>
      </c>
      <c r="F13" s="7">
        <v>60</v>
      </c>
      <c r="G13" s="9">
        <v>14000</v>
      </c>
      <c r="H13" s="10">
        <v>0.125</v>
      </c>
      <c r="I13" s="10">
        <v>0.14499999999999999</v>
      </c>
      <c r="J13" s="9" t="s">
        <v>284</v>
      </c>
      <c r="K13" s="7" t="s">
        <v>84</v>
      </c>
      <c r="L13" s="7" t="s">
        <v>208</v>
      </c>
      <c r="M13" s="7" t="s">
        <v>85</v>
      </c>
      <c r="N13" s="8">
        <v>44855</v>
      </c>
      <c r="O13" s="12">
        <v>0</v>
      </c>
      <c r="P13" s="13"/>
      <c r="Q13" s="21" t="s">
        <v>225</v>
      </c>
      <c r="R13" t="s">
        <v>349</v>
      </c>
      <c r="S13">
        <f t="shared" si="0"/>
        <v>8</v>
      </c>
      <c r="T13" s="4" t="s">
        <v>406</v>
      </c>
      <c r="U13">
        <f>Tabla1[[#This Row],[% interés ordinario]]*100</f>
        <v>12.5</v>
      </c>
      <c r="V13">
        <f>Tabla1[[#This Row],[% interés demora]]*100</f>
        <v>14.499999999999998</v>
      </c>
      <c r="W13">
        <f>Tabla1[[#This Row],[% apertura]]*100</f>
        <v>0</v>
      </c>
    </row>
    <row r="14" spans="2:23" x14ac:dyDescent="0.2">
      <c r="B14" s="4" t="s">
        <v>350</v>
      </c>
      <c r="C14" s="15">
        <v>2012</v>
      </c>
      <c r="D14" s="13" t="s">
        <v>97</v>
      </c>
      <c r="E14" s="16">
        <v>43168</v>
      </c>
      <c r="F14" s="13">
        <v>132</v>
      </c>
      <c r="G14" s="17">
        <v>34500</v>
      </c>
      <c r="H14" s="18">
        <v>0.13500000000000001</v>
      </c>
      <c r="I14" s="18">
        <v>0.16500000000000001</v>
      </c>
      <c r="J14" s="9" t="s">
        <v>285</v>
      </c>
      <c r="K14" s="13" t="s">
        <v>84</v>
      </c>
      <c r="L14" s="13" t="s">
        <v>208</v>
      </c>
      <c r="M14" s="13" t="s">
        <v>89</v>
      </c>
      <c r="N14" s="16"/>
      <c r="O14" s="19">
        <v>0</v>
      </c>
      <c r="P14" s="13" t="s">
        <v>98</v>
      </c>
      <c r="Q14" s="20" t="s">
        <v>226</v>
      </c>
      <c r="R14" t="s">
        <v>350</v>
      </c>
      <c r="S14">
        <f t="shared" si="0"/>
        <v>9</v>
      </c>
      <c r="T14" s="4" t="s">
        <v>406</v>
      </c>
      <c r="U14">
        <f>Tabla1[[#This Row],[% interés ordinario]]*100</f>
        <v>13.5</v>
      </c>
      <c r="V14">
        <f>Tabla1[[#This Row],[% interés demora]]*100</f>
        <v>16.5</v>
      </c>
      <c r="W14">
        <f>Tabla1[[#This Row],[% apertura]]*100</f>
        <v>0</v>
      </c>
    </row>
    <row r="15" spans="2:23" x14ac:dyDescent="0.2">
      <c r="B15" s="4" t="s">
        <v>351</v>
      </c>
      <c r="C15" s="6">
        <v>2013</v>
      </c>
      <c r="D15" s="7" t="s">
        <v>99</v>
      </c>
      <c r="E15" s="8">
        <v>42940</v>
      </c>
      <c r="F15" s="7">
        <v>36</v>
      </c>
      <c r="G15" s="9">
        <v>37000</v>
      </c>
      <c r="H15" s="10">
        <v>0.02</v>
      </c>
      <c r="I15" s="10">
        <v>0.05</v>
      </c>
      <c r="J15" s="9" t="s">
        <v>286</v>
      </c>
      <c r="K15" s="7" t="s">
        <v>94</v>
      </c>
      <c r="L15" s="7" t="s">
        <v>208</v>
      </c>
      <c r="M15" s="7" t="s">
        <v>85</v>
      </c>
      <c r="N15" s="8">
        <v>43650</v>
      </c>
      <c r="O15" s="12">
        <v>0</v>
      </c>
      <c r="P15" s="13"/>
      <c r="Q15" s="21" t="s">
        <v>227</v>
      </c>
      <c r="R15" t="s">
        <v>351</v>
      </c>
      <c r="S15">
        <f t="shared" si="0"/>
        <v>24</v>
      </c>
      <c r="T15" s="4" t="s">
        <v>406</v>
      </c>
      <c r="U15">
        <f>Tabla1[[#This Row],[% interés ordinario]]*100</f>
        <v>2</v>
      </c>
      <c r="V15">
        <f>Tabla1[[#This Row],[% interés demora]]*100</f>
        <v>5</v>
      </c>
      <c r="W15">
        <f>Tabla1[[#This Row],[% apertura]]*100</f>
        <v>0</v>
      </c>
    </row>
    <row r="16" spans="2:23" x14ac:dyDescent="0.2">
      <c r="B16" s="4" t="s">
        <v>352</v>
      </c>
      <c r="C16" s="6">
        <v>2014</v>
      </c>
      <c r="D16" s="7" t="s">
        <v>100</v>
      </c>
      <c r="E16" s="8">
        <v>43179</v>
      </c>
      <c r="F16" s="7">
        <v>120</v>
      </c>
      <c r="G16" s="9">
        <v>20000</v>
      </c>
      <c r="H16" s="10">
        <v>0.13500000000000001</v>
      </c>
      <c r="I16" s="10">
        <v>0.155</v>
      </c>
      <c r="J16" s="9" t="s">
        <v>287</v>
      </c>
      <c r="K16" s="7" t="s">
        <v>84</v>
      </c>
      <c r="L16" s="7" t="s">
        <v>208</v>
      </c>
      <c r="M16" s="7" t="s">
        <v>85</v>
      </c>
      <c r="N16" s="8">
        <v>44978</v>
      </c>
      <c r="O16" s="12">
        <v>0</v>
      </c>
      <c r="P16" s="13"/>
      <c r="Q16" s="21" t="s">
        <v>228</v>
      </c>
      <c r="R16" t="s">
        <v>352</v>
      </c>
      <c r="S16">
        <f t="shared" si="0"/>
        <v>20</v>
      </c>
      <c r="T16" s="4" t="s">
        <v>406</v>
      </c>
      <c r="U16">
        <f>Tabla1[[#This Row],[% interés ordinario]]*100</f>
        <v>13.5</v>
      </c>
      <c r="V16">
        <f>Tabla1[[#This Row],[% interés demora]]*100</f>
        <v>15.5</v>
      </c>
      <c r="W16">
        <f>Tabla1[[#This Row],[% apertura]]*100</f>
        <v>0</v>
      </c>
    </row>
    <row r="17" spans="2:23" x14ac:dyDescent="0.2">
      <c r="B17" s="4" t="s">
        <v>353</v>
      </c>
      <c r="C17" s="6">
        <v>2015</v>
      </c>
      <c r="D17" s="7" t="s">
        <v>101</v>
      </c>
      <c r="E17" s="8">
        <v>43208</v>
      </c>
      <c r="F17" s="7">
        <v>120</v>
      </c>
      <c r="G17" s="9">
        <v>36500</v>
      </c>
      <c r="H17" s="10">
        <v>0.125</v>
      </c>
      <c r="I17" s="10">
        <v>0.14499999999999999</v>
      </c>
      <c r="J17" s="9" t="s">
        <v>288</v>
      </c>
      <c r="K17" s="7" t="s">
        <v>84</v>
      </c>
      <c r="L17" s="7" t="s">
        <v>208</v>
      </c>
      <c r="M17" s="7" t="s">
        <v>85</v>
      </c>
      <c r="N17" s="8">
        <v>43448</v>
      </c>
      <c r="O17" s="12">
        <v>0</v>
      </c>
      <c r="P17" s="13"/>
      <c r="Q17" s="21" t="s">
        <v>229</v>
      </c>
      <c r="R17" t="s">
        <v>353</v>
      </c>
      <c r="S17">
        <f t="shared" si="0"/>
        <v>18</v>
      </c>
      <c r="T17" s="4" t="s">
        <v>406</v>
      </c>
      <c r="U17">
        <f>Tabla1[[#This Row],[% interés ordinario]]*100</f>
        <v>12.5</v>
      </c>
      <c r="V17">
        <f>Tabla1[[#This Row],[% interés demora]]*100</f>
        <v>14.499999999999998</v>
      </c>
      <c r="W17">
        <f>Tabla1[[#This Row],[% apertura]]*100</f>
        <v>0</v>
      </c>
    </row>
    <row r="18" spans="2:23" x14ac:dyDescent="0.2">
      <c r="B18" s="4" t="s">
        <v>354</v>
      </c>
      <c r="C18" s="15">
        <v>2016</v>
      </c>
      <c r="D18" s="13" t="s">
        <v>102</v>
      </c>
      <c r="E18" s="16">
        <v>43279</v>
      </c>
      <c r="F18" s="13">
        <v>120</v>
      </c>
      <c r="G18" s="17">
        <v>24500</v>
      </c>
      <c r="H18" s="18">
        <v>0.13</v>
      </c>
      <c r="I18" s="18">
        <v>0.16</v>
      </c>
      <c r="J18" s="9" t="s">
        <v>289</v>
      </c>
      <c r="K18" s="13" t="s">
        <v>84</v>
      </c>
      <c r="L18" s="13" t="s">
        <v>208</v>
      </c>
      <c r="M18" s="13" t="s">
        <v>89</v>
      </c>
      <c r="N18" s="16"/>
      <c r="O18" s="19">
        <v>0</v>
      </c>
      <c r="P18" s="13"/>
      <c r="Q18" s="20" t="s">
        <v>230</v>
      </c>
      <c r="R18" t="s">
        <v>354</v>
      </c>
      <c r="S18">
        <f t="shared" si="0"/>
        <v>28</v>
      </c>
      <c r="T18" s="4" t="s">
        <v>406</v>
      </c>
      <c r="U18">
        <f>Tabla1[[#This Row],[% interés ordinario]]*100</f>
        <v>13</v>
      </c>
      <c r="V18">
        <f>Tabla1[[#This Row],[% interés demora]]*100</f>
        <v>16</v>
      </c>
      <c r="W18">
        <f>Tabla1[[#This Row],[% apertura]]*100</f>
        <v>0</v>
      </c>
    </row>
    <row r="19" spans="2:23" x14ac:dyDescent="0.2">
      <c r="B19" s="4" t="s">
        <v>355</v>
      </c>
      <c r="C19" s="6">
        <v>2017</v>
      </c>
      <c r="D19" s="7" t="s">
        <v>103</v>
      </c>
      <c r="E19" s="8">
        <v>43208</v>
      </c>
      <c r="F19" s="7">
        <v>120</v>
      </c>
      <c r="G19" s="9">
        <v>36500</v>
      </c>
      <c r="H19" s="10">
        <v>0.125</v>
      </c>
      <c r="I19" s="10">
        <v>0.14499999999999999</v>
      </c>
      <c r="J19" s="9" t="s">
        <v>290</v>
      </c>
      <c r="K19" s="7" t="s">
        <v>84</v>
      </c>
      <c r="L19" s="7" t="s">
        <v>208</v>
      </c>
      <c r="M19" s="7" t="s">
        <v>85</v>
      </c>
      <c r="N19" s="8">
        <v>43448</v>
      </c>
      <c r="O19" s="12">
        <v>0</v>
      </c>
      <c r="P19" s="13"/>
      <c r="Q19" s="21" t="s">
        <v>231</v>
      </c>
      <c r="R19" t="s">
        <v>355</v>
      </c>
      <c r="S19">
        <f t="shared" si="0"/>
        <v>18</v>
      </c>
      <c r="T19" s="4" t="s">
        <v>406</v>
      </c>
      <c r="U19">
        <f>Tabla1[[#This Row],[% interés ordinario]]*100</f>
        <v>12.5</v>
      </c>
      <c r="V19">
        <f>Tabla1[[#This Row],[% interés demora]]*100</f>
        <v>14.499999999999998</v>
      </c>
      <c r="W19">
        <f>Tabla1[[#This Row],[% apertura]]*100</f>
        <v>0</v>
      </c>
    </row>
    <row r="20" spans="2:23" x14ac:dyDescent="0.2">
      <c r="B20" s="4" t="s">
        <v>356</v>
      </c>
      <c r="C20" s="6">
        <v>2018</v>
      </c>
      <c r="D20" s="7" t="s">
        <v>104</v>
      </c>
      <c r="E20" s="8">
        <v>43300</v>
      </c>
      <c r="F20" s="7">
        <v>120</v>
      </c>
      <c r="G20" s="9">
        <v>14500</v>
      </c>
      <c r="H20" s="10">
        <v>0.125</v>
      </c>
      <c r="I20" s="10">
        <v>0.14499999999999999</v>
      </c>
      <c r="J20" s="9" t="s">
        <v>291</v>
      </c>
      <c r="K20" s="7" t="s">
        <v>84</v>
      </c>
      <c r="L20" s="7" t="s">
        <v>208</v>
      </c>
      <c r="M20" s="7" t="s">
        <v>85</v>
      </c>
      <c r="N20" s="8">
        <v>43796</v>
      </c>
      <c r="O20" s="12">
        <v>0</v>
      </c>
      <c r="P20" s="13"/>
      <c r="Q20" s="21" t="s">
        <v>232</v>
      </c>
      <c r="R20" t="s">
        <v>356</v>
      </c>
      <c r="S20">
        <f t="shared" si="0"/>
        <v>19</v>
      </c>
      <c r="T20" s="4" t="s">
        <v>406</v>
      </c>
      <c r="U20">
        <f>Tabla1[[#This Row],[% interés ordinario]]*100</f>
        <v>12.5</v>
      </c>
      <c r="V20">
        <f>Tabla1[[#This Row],[% interés demora]]*100</f>
        <v>14.499999999999998</v>
      </c>
      <c r="W20">
        <f>Tabla1[[#This Row],[% apertura]]*100</f>
        <v>0</v>
      </c>
    </row>
    <row r="21" spans="2:23" x14ac:dyDescent="0.2">
      <c r="B21" s="4" t="s">
        <v>357</v>
      </c>
      <c r="C21" s="22">
        <v>2019</v>
      </c>
      <c r="D21" s="23" t="s">
        <v>105</v>
      </c>
      <c r="E21" s="24">
        <v>43319</v>
      </c>
      <c r="F21" s="23">
        <v>120</v>
      </c>
      <c r="G21" s="25">
        <v>30500</v>
      </c>
      <c r="H21" s="26">
        <v>0.125</v>
      </c>
      <c r="I21" s="26">
        <v>0.14499999999999999</v>
      </c>
      <c r="J21" s="9" t="s">
        <v>292</v>
      </c>
      <c r="K21" s="23" t="s">
        <v>84</v>
      </c>
      <c r="L21" s="23" t="s">
        <v>208</v>
      </c>
      <c r="M21" s="23" t="s">
        <v>106</v>
      </c>
      <c r="N21" s="23"/>
      <c r="O21" s="27">
        <v>0</v>
      </c>
      <c r="P21" s="23" t="s">
        <v>107</v>
      </c>
      <c r="Q21" s="28" t="s">
        <v>233</v>
      </c>
      <c r="R21" t="s">
        <v>357</v>
      </c>
      <c r="S21">
        <f t="shared" si="0"/>
        <v>7</v>
      </c>
      <c r="T21" s="4" t="s">
        <v>406</v>
      </c>
      <c r="U21">
        <f>Tabla1[[#This Row],[% interés ordinario]]*100</f>
        <v>12.5</v>
      </c>
      <c r="V21">
        <f>Tabla1[[#This Row],[% interés demora]]*100</f>
        <v>14.499999999999998</v>
      </c>
      <c r="W21">
        <f>Tabla1[[#This Row],[% apertura]]*100</f>
        <v>0</v>
      </c>
    </row>
    <row r="22" spans="2:23" x14ac:dyDescent="0.2">
      <c r="B22" s="4" t="s">
        <v>358</v>
      </c>
      <c r="C22" s="6">
        <v>2020</v>
      </c>
      <c r="D22" s="7" t="s">
        <v>108</v>
      </c>
      <c r="E22" s="8">
        <v>43353</v>
      </c>
      <c r="F22" s="7">
        <v>180</v>
      </c>
      <c r="G22" s="9">
        <v>19300</v>
      </c>
      <c r="H22" s="10">
        <v>0.125</v>
      </c>
      <c r="I22" s="10">
        <v>0.14499999999999999</v>
      </c>
      <c r="J22" s="9" t="s">
        <v>293</v>
      </c>
      <c r="K22" s="7" t="s">
        <v>84</v>
      </c>
      <c r="L22" s="7" t="s">
        <v>208</v>
      </c>
      <c r="M22" s="7" t="s">
        <v>85</v>
      </c>
      <c r="N22" s="8">
        <v>43586</v>
      </c>
      <c r="O22" s="12">
        <v>0</v>
      </c>
      <c r="P22" s="13"/>
      <c r="Q22" s="21" t="s">
        <v>234</v>
      </c>
      <c r="R22" t="s">
        <v>358</v>
      </c>
      <c r="S22">
        <f t="shared" si="0"/>
        <v>10</v>
      </c>
      <c r="T22" s="4" t="s">
        <v>406</v>
      </c>
      <c r="U22">
        <f>Tabla1[[#This Row],[% interés ordinario]]*100</f>
        <v>12.5</v>
      </c>
      <c r="V22">
        <f>Tabla1[[#This Row],[% interés demora]]*100</f>
        <v>14.499999999999998</v>
      </c>
      <c r="W22">
        <f>Tabla1[[#This Row],[% apertura]]*100</f>
        <v>0</v>
      </c>
    </row>
    <row r="23" spans="2:23" x14ac:dyDescent="0.2">
      <c r="B23" s="4" t="s">
        <v>359</v>
      </c>
      <c r="C23" s="22">
        <v>2021</v>
      </c>
      <c r="D23" s="23" t="s">
        <v>109</v>
      </c>
      <c r="E23" s="24">
        <v>43375</v>
      </c>
      <c r="F23" s="23">
        <v>120</v>
      </c>
      <c r="G23" s="25">
        <v>15000</v>
      </c>
      <c r="H23" s="26">
        <v>0.13500000000000001</v>
      </c>
      <c r="I23" s="26">
        <v>0.155</v>
      </c>
      <c r="J23" s="9" t="s">
        <v>294</v>
      </c>
      <c r="K23" s="23" t="s">
        <v>84</v>
      </c>
      <c r="L23" s="23" t="s">
        <v>208</v>
      </c>
      <c r="M23" s="23" t="s">
        <v>106</v>
      </c>
      <c r="N23" s="23"/>
      <c r="O23" s="27">
        <v>0</v>
      </c>
      <c r="P23" s="23" t="s">
        <v>107</v>
      </c>
      <c r="Q23" s="28" t="s">
        <v>235</v>
      </c>
      <c r="R23" t="s">
        <v>359</v>
      </c>
      <c r="S23">
        <f t="shared" si="0"/>
        <v>2</v>
      </c>
      <c r="T23" s="4" t="s">
        <v>406</v>
      </c>
      <c r="U23">
        <f>Tabla1[[#This Row],[% interés ordinario]]*100</f>
        <v>13.5</v>
      </c>
      <c r="V23">
        <f>Tabla1[[#This Row],[% interés demora]]*100</f>
        <v>15.5</v>
      </c>
      <c r="W23">
        <f>Tabla1[[#This Row],[% apertura]]*100</f>
        <v>0</v>
      </c>
    </row>
    <row r="24" spans="2:23" x14ac:dyDescent="0.2">
      <c r="B24" s="4" t="s">
        <v>360</v>
      </c>
      <c r="C24" s="6">
        <v>2022</v>
      </c>
      <c r="D24" s="7" t="s">
        <v>110</v>
      </c>
      <c r="E24" s="8">
        <v>43375</v>
      </c>
      <c r="F24" s="7">
        <v>180</v>
      </c>
      <c r="G24" s="9">
        <v>18500</v>
      </c>
      <c r="H24" s="10">
        <v>0.13</v>
      </c>
      <c r="I24" s="10">
        <v>0.15</v>
      </c>
      <c r="J24" s="9" t="s">
        <v>295</v>
      </c>
      <c r="K24" s="7" t="s">
        <v>84</v>
      </c>
      <c r="L24" s="7" t="s">
        <v>208</v>
      </c>
      <c r="M24" s="7" t="s">
        <v>85</v>
      </c>
      <c r="N24" s="8">
        <v>43670</v>
      </c>
      <c r="O24" s="12">
        <v>0</v>
      </c>
      <c r="P24" s="13"/>
      <c r="Q24" s="21" t="s">
        <v>236</v>
      </c>
      <c r="R24" t="s">
        <v>360</v>
      </c>
      <c r="S24">
        <f t="shared" si="0"/>
        <v>2</v>
      </c>
      <c r="T24" s="4" t="s">
        <v>406</v>
      </c>
      <c r="U24">
        <f>Tabla1[[#This Row],[% interés ordinario]]*100</f>
        <v>13</v>
      </c>
      <c r="V24">
        <f>Tabla1[[#This Row],[% interés demora]]*100</f>
        <v>15</v>
      </c>
      <c r="W24">
        <f>Tabla1[[#This Row],[% apertura]]*100</f>
        <v>0</v>
      </c>
    </row>
    <row r="25" spans="2:23" x14ac:dyDescent="0.2">
      <c r="B25" s="4" t="s">
        <v>361</v>
      </c>
      <c r="C25" s="6">
        <v>2023</v>
      </c>
      <c r="D25" s="7" t="s">
        <v>111</v>
      </c>
      <c r="E25" s="8">
        <v>43382</v>
      </c>
      <c r="F25" s="7">
        <v>180</v>
      </c>
      <c r="G25" s="9">
        <v>27991</v>
      </c>
      <c r="H25" s="10">
        <v>0.15</v>
      </c>
      <c r="I25" s="10">
        <v>0.17</v>
      </c>
      <c r="J25" s="9" t="s">
        <v>296</v>
      </c>
      <c r="K25" s="7" t="s">
        <v>84</v>
      </c>
      <c r="L25" s="7" t="s">
        <v>208</v>
      </c>
      <c r="M25" s="7" t="s">
        <v>85</v>
      </c>
      <c r="N25" s="8">
        <v>45007</v>
      </c>
      <c r="O25" s="12">
        <v>0</v>
      </c>
      <c r="P25" s="13"/>
      <c r="Q25" s="21" t="s">
        <v>237</v>
      </c>
      <c r="R25" t="s">
        <v>361</v>
      </c>
      <c r="S25">
        <f t="shared" si="0"/>
        <v>9</v>
      </c>
      <c r="T25" s="4" t="s">
        <v>406</v>
      </c>
      <c r="U25">
        <f>Tabla1[[#This Row],[% interés ordinario]]*100</f>
        <v>15</v>
      </c>
      <c r="V25">
        <f>Tabla1[[#This Row],[% interés demora]]*100</f>
        <v>17</v>
      </c>
      <c r="W25">
        <f>Tabla1[[#This Row],[% apertura]]*100</f>
        <v>0</v>
      </c>
    </row>
    <row r="26" spans="2:23" x14ac:dyDescent="0.2">
      <c r="B26" s="4" t="s">
        <v>362</v>
      </c>
      <c r="C26" s="6">
        <v>2024</v>
      </c>
      <c r="D26" s="7" t="s">
        <v>112</v>
      </c>
      <c r="E26" s="8">
        <v>43503</v>
      </c>
      <c r="F26" s="7">
        <v>120</v>
      </c>
      <c r="G26" s="9">
        <v>20000</v>
      </c>
      <c r="H26" s="10">
        <v>0.125</v>
      </c>
      <c r="I26" s="10">
        <v>0.14499999999999999</v>
      </c>
      <c r="J26" s="9" t="s">
        <v>297</v>
      </c>
      <c r="K26" s="7" t="s">
        <v>84</v>
      </c>
      <c r="L26" s="7" t="s">
        <v>208</v>
      </c>
      <c r="M26" s="7" t="s">
        <v>85</v>
      </c>
      <c r="N26" s="8">
        <v>44742</v>
      </c>
      <c r="O26" s="12">
        <v>0</v>
      </c>
      <c r="P26" s="13"/>
      <c r="Q26" s="21" t="s">
        <v>238</v>
      </c>
      <c r="R26" t="s">
        <v>362</v>
      </c>
      <c r="S26">
        <f t="shared" si="0"/>
        <v>7</v>
      </c>
      <c r="T26" s="4" t="s">
        <v>406</v>
      </c>
      <c r="U26">
        <f>Tabla1[[#This Row],[% interés ordinario]]*100</f>
        <v>12.5</v>
      </c>
      <c r="V26">
        <f>Tabla1[[#This Row],[% interés demora]]*100</f>
        <v>14.499999999999998</v>
      </c>
      <c r="W26">
        <f>Tabla1[[#This Row],[% apertura]]*100</f>
        <v>0</v>
      </c>
    </row>
    <row r="27" spans="2:23" x14ac:dyDescent="0.2">
      <c r="B27" s="4" t="s">
        <v>363</v>
      </c>
      <c r="C27" s="6">
        <v>2025</v>
      </c>
      <c r="D27" s="7" t="s">
        <v>113</v>
      </c>
      <c r="E27" s="8">
        <v>43503</v>
      </c>
      <c r="F27" s="7">
        <v>120</v>
      </c>
      <c r="G27" s="9">
        <v>11100</v>
      </c>
      <c r="H27" s="10">
        <v>0.125</v>
      </c>
      <c r="I27" s="10">
        <v>0.14499999999999999</v>
      </c>
      <c r="J27" s="9" t="s">
        <v>298</v>
      </c>
      <c r="K27" s="7" t="s">
        <v>84</v>
      </c>
      <c r="L27" s="7" t="s">
        <v>208</v>
      </c>
      <c r="M27" s="7" t="s">
        <v>85</v>
      </c>
      <c r="N27" s="8">
        <v>44134</v>
      </c>
      <c r="O27" s="12">
        <v>0</v>
      </c>
      <c r="P27" s="13"/>
      <c r="Q27" s="21" t="s">
        <v>239</v>
      </c>
      <c r="R27" t="s">
        <v>363</v>
      </c>
      <c r="S27">
        <f t="shared" si="0"/>
        <v>7</v>
      </c>
      <c r="T27" s="4" t="s">
        <v>406</v>
      </c>
      <c r="U27">
        <f>Tabla1[[#This Row],[% interés ordinario]]*100</f>
        <v>12.5</v>
      </c>
      <c r="V27">
        <f>Tabla1[[#This Row],[% interés demora]]*100</f>
        <v>14.499999999999998</v>
      </c>
      <c r="W27">
        <f>Tabla1[[#This Row],[% apertura]]*100</f>
        <v>0</v>
      </c>
    </row>
    <row r="28" spans="2:23" x14ac:dyDescent="0.2">
      <c r="B28" s="4" t="s">
        <v>364</v>
      </c>
      <c r="C28" s="15">
        <v>2026</v>
      </c>
      <c r="D28" s="13" t="s">
        <v>114</v>
      </c>
      <c r="E28" s="16">
        <v>43524</v>
      </c>
      <c r="F28" s="13">
        <v>180</v>
      </c>
      <c r="G28" s="17">
        <v>18000</v>
      </c>
      <c r="H28" s="18">
        <v>0.125</v>
      </c>
      <c r="I28" s="18">
        <v>0.14499999999999999</v>
      </c>
      <c r="J28" s="9" t="s">
        <v>299</v>
      </c>
      <c r="K28" s="13" t="s">
        <v>84</v>
      </c>
      <c r="L28" s="13" t="s">
        <v>208</v>
      </c>
      <c r="M28" s="13" t="s">
        <v>89</v>
      </c>
      <c r="N28" s="16"/>
      <c r="O28" s="19">
        <v>0</v>
      </c>
      <c r="P28" s="13"/>
      <c r="Q28" s="20" t="s">
        <v>240</v>
      </c>
      <c r="R28" t="s">
        <v>364</v>
      </c>
      <c r="S28">
        <f t="shared" si="0"/>
        <v>28</v>
      </c>
      <c r="T28" s="4" t="s">
        <v>406</v>
      </c>
      <c r="U28">
        <f>Tabla1[[#This Row],[% interés ordinario]]*100</f>
        <v>12.5</v>
      </c>
      <c r="V28">
        <f>Tabla1[[#This Row],[% interés demora]]*100</f>
        <v>14.499999999999998</v>
      </c>
      <c r="W28">
        <f>Tabla1[[#This Row],[% apertura]]*100</f>
        <v>0</v>
      </c>
    </row>
    <row r="29" spans="2:23" x14ac:dyDescent="0.2">
      <c r="B29" s="4" t="s">
        <v>365</v>
      </c>
      <c r="C29" s="6">
        <v>2027</v>
      </c>
      <c r="D29" s="7" t="s">
        <v>115</v>
      </c>
      <c r="E29" s="8">
        <v>43529</v>
      </c>
      <c r="F29" s="7">
        <v>180</v>
      </c>
      <c r="G29" s="9">
        <v>27500</v>
      </c>
      <c r="H29" s="10">
        <v>0.125</v>
      </c>
      <c r="I29" s="10">
        <v>0.14499999999999999</v>
      </c>
      <c r="J29" s="9" t="s">
        <v>300</v>
      </c>
      <c r="K29" s="7" t="s">
        <v>84</v>
      </c>
      <c r="L29" s="7" t="s">
        <v>208</v>
      </c>
      <c r="M29" s="7" t="s">
        <v>85</v>
      </c>
      <c r="N29" s="8">
        <v>43799</v>
      </c>
      <c r="O29" s="12">
        <v>0</v>
      </c>
      <c r="P29" s="13"/>
      <c r="Q29" s="21" t="s">
        <v>241</v>
      </c>
      <c r="R29" t="s">
        <v>365</v>
      </c>
      <c r="S29">
        <f t="shared" si="0"/>
        <v>5</v>
      </c>
      <c r="T29" s="4" t="s">
        <v>406</v>
      </c>
      <c r="U29">
        <f>Tabla1[[#This Row],[% interés ordinario]]*100</f>
        <v>12.5</v>
      </c>
      <c r="V29">
        <f>Tabla1[[#This Row],[% interés demora]]*100</f>
        <v>14.499999999999998</v>
      </c>
      <c r="W29">
        <f>Tabla1[[#This Row],[% apertura]]*100</f>
        <v>0</v>
      </c>
    </row>
    <row r="30" spans="2:23" x14ac:dyDescent="0.2">
      <c r="B30" s="4" t="s">
        <v>366</v>
      </c>
      <c r="C30" s="15">
        <v>2028</v>
      </c>
      <c r="D30" s="13" t="s">
        <v>116</v>
      </c>
      <c r="E30" s="16">
        <v>43543</v>
      </c>
      <c r="F30" s="13">
        <v>180</v>
      </c>
      <c r="G30" s="17">
        <v>22500</v>
      </c>
      <c r="H30" s="18">
        <v>0.125</v>
      </c>
      <c r="I30" s="18">
        <v>0.14499999999999999</v>
      </c>
      <c r="J30" s="9" t="s">
        <v>299</v>
      </c>
      <c r="K30" s="13" t="s">
        <v>84</v>
      </c>
      <c r="L30" s="13" t="s">
        <v>208</v>
      </c>
      <c r="M30" s="13" t="s">
        <v>89</v>
      </c>
      <c r="N30" s="16"/>
      <c r="O30" s="19">
        <v>0</v>
      </c>
      <c r="P30" s="13"/>
      <c r="Q30" s="20" t="s">
        <v>240</v>
      </c>
      <c r="R30" t="s">
        <v>366</v>
      </c>
      <c r="S30">
        <f t="shared" si="0"/>
        <v>19</v>
      </c>
      <c r="T30" s="4" t="s">
        <v>406</v>
      </c>
      <c r="U30">
        <f>Tabla1[[#This Row],[% interés ordinario]]*100</f>
        <v>12.5</v>
      </c>
      <c r="V30">
        <f>Tabla1[[#This Row],[% interés demora]]*100</f>
        <v>14.499999999999998</v>
      </c>
      <c r="W30">
        <f>Tabla1[[#This Row],[% apertura]]*100</f>
        <v>0</v>
      </c>
    </row>
    <row r="31" spans="2:23" x14ac:dyDescent="0.2">
      <c r="B31" s="4" t="s">
        <v>367</v>
      </c>
      <c r="C31" s="6">
        <v>2029</v>
      </c>
      <c r="D31" s="7" t="s">
        <v>117</v>
      </c>
      <c r="E31" s="8">
        <v>43565</v>
      </c>
      <c r="F31" s="7">
        <v>72</v>
      </c>
      <c r="G31" s="9">
        <v>24600</v>
      </c>
      <c r="H31" s="10">
        <v>0.125</v>
      </c>
      <c r="I31" s="10">
        <v>0.14499999999999999</v>
      </c>
      <c r="J31" s="9" t="s">
        <v>302</v>
      </c>
      <c r="K31" s="7" t="s">
        <v>84</v>
      </c>
      <c r="L31" s="7" t="s">
        <v>208</v>
      </c>
      <c r="M31" s="7" t="s">
        <v>85</v>
      </c>
      <c r="N31" s="8">
        <v>43719</v>
      </c>
      <c r="O31" s="12">
        <v>0</v>
      </c>
      <c r="P31" s="13"/>
      <c r="Q31" s="21" t="s">
        <v>242</v>
      </c>
      <c r="R31" t="s">
        <v>367</v>
      </c>
      <c r="S31">
        <f t="shared" si="0"/>
        <v>10</v>
      </c>
      <c r="T31" s="4" t="s">
        <v>406</v>
      </c>
      <c r="U31">
        <f>Tabla1[[#This Row],[% interés ordinario]]*100</f>
        <v>12.5</v>
      </c>
      <c r="V31">
        <f>Tabla1[[#This Row],[% interés demora]]*100</f>
        <v>14.499999999999998</v>
      </c>
      <c r="W31">
        <f>Tabla1[[#This Row],[% apertura]]*100</f>
        <v>0</v>
      </c>
    </row>
    <row r="32" spans="2:23" x14ac:dyDescent="0.2">
      <c r="B32" s="4" t="s">
        <v>368</v>
      </c>
      <c r="C32" s="6">
        <v>2030</v>
      </c>
      <c r="D32" s="7" t="s">
        <v>118</v>
      </c>
      <c r="E32" s="8">
        <v>43609</v>
      </c>
      <c r="F32" s="7">
        <v>180</v>
      </c>
      <c r="G32" s="9">
        <v>14700</v>
      </c>
      <c r="H32" s="10">
        <v>0.125</v>
      </c>
      <c r="I32" s="10">
        <v>0.155</v>
      </c>
      <c r="J32" s="9" t="s">
        <v>303</v>
      </c>
      <c r="K32" s="7" t="s">
        <v>84</v>
      </c>
      <c r="L32" s="7" t="s">
        <v>208</v>
      </c>
      <c r="M32" s="7" t="s">
        <v>85</v>
      </c>
      <c r="N32" s="8">
        <v>43972</v>
      </c>
      <c r="O32" s="12">
        <v>0</v>
      </c>
      <c r="P32" s="13"/>
      <c r="Q32" s="21" t="s">
        <v>243</v>
      </c>
      <c r="R32" t="s">
        <v>368</v>
      </c>
      <c r="S32">
        <f t="shared" si="0"/>
        <v>24</v>
      </c>
      <c r="T32" s="4" t="s">
        <v>406</v>
      </c>
      <c r="U32">
        <f>Tabla1[[#This Row],[% interés ordinario]]*100</f>
        <v>12.5</v>
      </c>
      <c r="V32">
        <f>Tabla1[[#This Row],[% interés demora]]*100</f>
        <v>15.5</v>
      </c>
      <c r="W32">
        <f>Tabla1[[#This Row],[% apertura]]*100</f>
        <v>0</v>
      </c>
    </row>
    <row r="33" spans="2:23" x14ac:dyDescent="0.2">
      <c r="B33" s="4" t="s">
        <v>369</v>
      </c>
      <c r="C33" s="6">
        <v>2031</v>
      </c>
      <c r="D33" s="7" t="s">
        <v>119</v>
      </c>
      <c r="E33" s="8">
        <v>43617</v>
      </c>
      <c r="F33" s="7">
        <v>240</v>
      </c>
      <c r="G33" s="9">
        <v>33000</v>
      </c>
      <c r="H33" s="10">
        <v>0.125</v>
      </c>
      <c r="I33" s="10">
        <v>0.14499999999999999</v>
      </c>
      <c r="J33" s="9" t="s">
        <v>304</v>
      </c>
      <c r="K33" s="7" t="s">
        <v>84</v>
      </c>
      <c r="L33" s="7" t="s">
        <v>208</v>
      </c>
      <c r="M33" s="7" t="s">
        <v>85</v>
      </c>
      <c r="N33" s="8">
        <v>44320</v>
      </c>
      <c r="O33" s="12">
        <v>0</v>
      </c>
      <c r="P33" s="13"/>
      <c r="Q33" s="21" t="s">
        <v>244</v>
      </c>
      <c r="R33" t="s">
        <v>369</v>
      </c>
      <c r="S33">
        <f t="shared" si="0"/>
        <v>1</v>
      </c>
      <c r="T33" s="4" t="s">
        <v>406</v>
      </c>
      <c r="U33">
        <f>Tabla1[[#This Row],[% interés ordinario]]*100</f>
        <v>12.5</v>
      </c>
      <c r="V33">
        <f>Tabla1[[#This Row],[% interés demora]]*100</f>
        <v>14.499999999999998</v>
      </c>
      <c r="W33">
        <f>Tabla1[[#This Row],[% apertura]]*100</f>
        <v>0</v>
      </c>
    </row>
    <row r="34" spans="2:23" x14ac:dyDescent="0.2">
      <c r="B34" s="4" t="s">
        <v>370</v>
      </c>
      <c r="C34" s="6">
        <v>2032</v>
      </c>
      <c r="D34" s="7" t="s">
        <v>34</v>
      </c>
      <c r="E34" s="8">
        <v>43622</v>
      </c>
      <c r="F34" s="7">
        <v>180</v>
      </c>
      <c r="G34" s="9">
        <v>19000</v>
      </c>
      <c r="H34" s="10">
        <v>0.125</v>
      </c>
      <c r="I34" s="10">
        <v>0.14749999999999999</v>
      </c>
      <c r="J34" s="9" t="s">
        <v>305</v>
      </c>
      <c r="K34" s="7" t="s">
        <v>84</v>
      </c>
      <c r="L34" s="7" t="s">
        <v>208</v>
      </c>
      <c r="M34" s="7" t="s">
        <v>85</v>
      </c>
      <c r="N34" s="8">
        <v>44060</v>
      </c>
      <c r="O34" s="12">
        <v>0</v>
      </c>
      <c r="P34" s="13"/>
      <c r="Q34" s="21" t="s">
        <v>245</v>
      </c>
      <c r="R34" t="s">
        <v>370</v>
      </c>
      <c r="S34">
        <f t="shared" si="0"/>
        <v>6</v>
      </c>
      <c r="T34" s="4" t="s">
        <v>406</v>
      </c>
      <c r="U34">
        <f>Tabla1[[#This Row],[% interés ordinario]]*100</f>
        <v>12.5</v>
      </c>
      <c r="V34">
        <f>Tabla1[[#This Row],[% interés demora]]*100</f>
        <v>14.75</v>
      </c>
      <c r="W34">
        <f>Tabla1[[#This Row],[% apertura]]*100</f>
        <v>0</v>
      </c>
    </row>
    <row r="35" spans="2:23" x14ac:dyDescent="0.2">
      <c r="B35" s="4" t="s">
        <v>371</v>
      </c>
      <c r="C35" s="22">
        <v>2033</v>
      </c>
      <c r="D35" s="23" t="s">
        <v>120</v>
      </c>
      <c r="E35" s="24">
        <v>43621</v>
      </c>
      <c r="F35" s="23">
        <v>180</v>
      </c>
      <c r="G35" s="25">
        <v>14800</v>
      </c>
      <c r="H35" s="26">
        <v>0.125</v>
      </c>
      <c r="I35" s="26">
        <v>0.14499999999999999</v>
      </c>
      <c r="J35" s="9" t="s">
        <v>306</v>
      </c>
      <c r="K35" s="23" t="s">
        <v>84</v>
      </c>
      <c r="L35" s="23" t="s">
        <v>208</v>
      </c>
      <c r="M35" s="23" t="s">
        <v>106</v>
      </c>
      <c r="N35" s="23"/>
      <c r="O35" s="27">
        <v>0</v>
      </c>
      <c r="P35" s="23" t="s">
        <v>107</v>
      </c>
      <c r="Q35" s="28" t="s">
        <v>246</v>
      </c>
      <c r="R35" t="s">
        <v>371</v>
      </c>
      <c r="S35">
        <f t="shared" si="0"/>
        <v>5</v>
      </c>
      <c r="T35" s="4" t="s">
        <v>406</v>
      </c>
      <c r="U35">
        <f>Tabla1[[#This Row],[% interés ordinario]]*100</f>
        <v>12.5</v>
      </c>
      <c r="V35">
        <f>Tabla1[[#This Row],[% interés demora]]*100</f>
        <v>14.499999999999998</v>
      </c>
      <c r="W35">
        <f>Tabla1[[#This Row],[% apertura]]*100</f>
        <v>0</v>
      </c>
    </row>
    <row r="36" spans="2:23" x14ac:dyDescent="0.2">
      <c r="B36" s="4" t="s">
        <v>372</v>
      </c>
      <c r="C36" s="15">
        <v>2034</v>
      </c>
      <c r="D36" s="13" t="s">
        <v>121</v>
      </c>
      <c r="E36" s="16">
        <v>43628</v>
      </c>
      <c r="F36" s="13">
        <v>120</v>
      </c>
      <c r="G36" s="17">
        <v>10000</v>
      </c>
      <c r="H36" s="18">
        <v>0.125</v>
      </c>
      <c r="I36" s="18">
        <v>0.155</v>
      </c>
      <c r="J36" s="9" t="s">
        <v>307</v>
      </c>
      <c r="K36" s="13" t="s">
        <v>84</v>
      </c>
      <c r="L36" s="13" t="s">
        <v>208</v>
      </c>
      <c r="M36" s="13" t="s">
        <v>89</v>
      </c>
      <c r="N36" s="16"/>
      <c r="O36" s="19">
        <v>0</v>
      </c>
      <c r="P36" s="13"/>
      <c r="Q36" s="20" t="s">
        <v>247</v>
      </c>
      <c r="R36" t="s">
        <v>372</v>
      </c>
      <c r="S36">
        <f t="shared" si="0"/>
        <v>12</v>
      </c>
      <c r="T36" s="4" t="s">
        <v>406</v>
      </c>
      <c r="U36">
        <f>Tabla1[[#This Row],[% interés ordinario]]*100</f>
        <v>12.5</v>
      </c>
      <c r="V36">
        <f>Tabla1[[#This Row],[% interés demora]]*100</f>
        <v>15.5</v>
      </c>
      <c r="W36">
        <f>Tabla1[[#This Row],[% apertura]]*100</f>
        <v>0</v>
      </c>
    </row>
    <row r="37" spans="2:23" x14ac:dyDescent="0.2">
      <c r="B37" s="4" t="s">
        <v>373</v>
      </c>
      <c r="C37" s="6">
        <v>2035</v>
      </c>
      <c r="D37" s="7" t="s">
        <v>122</v>
      </c>
      <c r="E37" s="8">
        <v>43629</v>
      </c>
      <c r="F37" s="7">
        <v>60</v>
      </c>
      <c r="G37" s="9">
        <v>13500</v>
      </c>
      <c r="H37" s="10">
        <v>0.125</v>
      </c>
      <c r="I37" s="10">
        <v>0.14749999999999999</v>
      </c>
      <c r="J37" s="9" t="s">
        <v>308</v>
      </c>
      <c r="K37" s="7" t="s">
        <v>84</v>
      </c>
      <c r="L37" s="7" t="s">
        <v>208</v>
      </c>
      <c r="M37" s="7" t="s">
        <v>85</v>
      </c>
      <c r="N37" s="8">
        <v>45456</v>
      </c>
      <c r="O37" s="12">
        <v>0</v>
      </c>
      <c r="P37" s="13"/>
      <c r="Q37" s="21" t="s">
        <v>248</v>
      </c>
      <c r="R37" t="s">
        <v>373</v>
      </c>
      <c r="S37">
        <f t="shared" si="0"/>
        <v>13</v>
      </c>
      <c r="T37" s="4" t="s">
        <v>406</v>
      </c>
      <c r="U37">
        <f>Tabla1[[#This Row],[% interés ordinario]]*100</f>
        <v>12.5</v>
      </c>
      <c r="V37">
        <f>Tabla1[[#This Row],[% interés demora]]*100</f>
        <v>14.75</v>
      </c>
      <c r="W37">
        <f>Tabla1[[#This Row],[% apertura]]*100</f>
        <v>0</v>
      </c>
    </row>
    <row r="38" spans="2:23" x14ac:dyDescent="0.2">
      <c r="B38" s="4" t="s">
        <v>374</v>
      </c>
      <c r="C38" s="6">
        <v>2036</v>
      </c>
      <c r="D38" s="7" t="s">
        <v>123</v>
      </c>
      <c r="E38" s="8">
        <v>43777</v>
      </c>
      <c r="F38" s="7">
        <v>72</v>
      </c>
      <c r="G38" s="9">
        <v>16500</v>
      </c>
      <c r="H38" s="10">
        <v>0.125</v>
      </c>
      <c r="I38" s="10">
        <v>0.155</v>
      </c>
      <c r="J38" s="9" t="s">
        <v>309</v>
      </c>
      <c r="K38" s="7" t="s">
        <v>84</v>
      </c>
      <c r="L38" s="7" t="s">
        <v>208</v>
      </c>
      <c r="M38" s="7" t="s">
        <v>85</v>
      </c>
      <c r="N38" s="8">
        <v>44581</v>
      </c>
      <c r="O38" s="12">
        <v>0</v>
      </c>
      <c r="P38" s="13"/>
      <c r="Q38" s="21" t="s">
        <v>249</v>
      </c>
      <c r="R38" t="s">
        <v>374</v>
      </c>
      <c r="S38">
        <f t="shared" si="0"/>
        <v>8</v>
      </c>
      <c r="T38" s="4" t="s">
        <v>406</v>
      </c>
      <c r="U38">
        <f>Tabla1[[#This Row],[% interés ordinario]]*100</f>
        <v>12.5</v>
      </c>
      <c r="V38">
        <f>Tabla1[[#This Row],[% interés demora]]*100</f>
        <v>15.5</v>
      </c>
      <c r="W38">
        <f>Tabla1[[#This Row],[% apertura]]*100</f>
        <v>0</v>
      </c>
    </row>
    <row r="39" spans="2:23" x14ac:dyDescent="0.2">
      <c r="B39" s="4" t="s">
        <v>375</v>
      </c>
      <c r="C39" s="6">
        <v>2037</v>
      </c>
      <c r="D39" s="7" t="s">
        <v>124</v>
      </c>
      <c r="E39" s="8">
        <v>43784</v>
      </c>
      <c r="F39" s="7">
        <v>180</v>
      </c>
      <c r="G39" s="9">
        <v>40000</v>
      </c>
      <c r="H39" s="10">
        <v>0.125</v>
      </c>
      <c r="I39" s="10">
        <v>0.155</v>
      </c>
      <c r="J39" s="9" t="s">
        <v>310</v>
      </c>
      <c r="K39" s="7" t="s">
        <v>84</v>
      </c>
      <c r="L39" s="7" t="s">
        <v>208</v>
      </c>
      <c r="M39" s="7" t="s">
        <v>85</v>
      </c>
      <c r="N39" s="8">
        <v>45225</v>
      </c>
      <c r="O39" s="12">
        <v>0</v>
      </c>
      <c r="P39" s="13"/>
      <c r="Q39" s="21" t="s">
        <v>250</v>
      </c>
      <c r="R39" t="s">
        <v>375</v>
      </c>
      <c r="S39">
        <f t="shared" si="0"/>
        <v>15</v>
      </c>
      <c r="T39" s="4" t="s">
        <v>406</v>
      </c>
      <c r="U39">
        <f>Tabla1[[#This Row],[% interés ordinario]]*100</f>
        <v>12.5</v>
      </c>
      <c r="V39">
        <f>Tabla1[[#This Row],[% interés demora]]*100</f>
        <v>15.5</v>
      </c>
      <c r="W39">
        <f>Tabla1[[#This Row],[% apertura]]*100</f>
        <v>0</v>
      </c>
    </row>
    <row r="40" spans="2:23" x14ac:dyDescent="0.2">
      <c r="B40" s="4" t="s">
        <v>376</v>
      </c>
      <c r="C40" s="22">
        <v>2038</v>
      </c>
      <c r="D40" s="23" t="s">
        <v>40</v>
      </c>
      <c r="E40" s="24">
        <v>43798</v>
      </c>
      <c r="F40" s="23">
        <v>18</v>
      </c>
      <c r="G40" s="25">
        <v>30000</v>
      </c>
      <c r="H40" s="26">
        <v>9.9000000000000005E-2</v>
      </c>
      <c r="I40" s="26">
        <v>0.11899999999999999</v>
      </c>
      <c r="J40" s="9" t="s">
        <v>311</v>
      </c>
      <c r="K40" s="23" t="s">
        <v>94</v>
      </c>
      <c r="L40" s="23" t="s">
        <v>209</v>
      </c>
      <c r="M40" s="23" t="s">
        <v>106</v>
      </c>
      <c r="N40" s="23"/>
      <c r="O40" s="27">
        <v>0</v>
      </c>
      <c r="P40" s="23"/>
      <c r="Q40" s="28" t="s">
        <v>251</v>
      </c>
      <c r="R40" t="s">
        <v>376</v>
      </c>
      <c r="S40">
        <f t="shared" si="0"/>
        <v>29</v>
      </c>
      <c r="T40" s="4" t="s">
        <v>408</v>
      </c>
      <c r="U40">
        <f>Tabla1[[#This Row],[% interés ordinario]]*100</f>
        <v>9.9</v>
      </c>
      <c r="V40">
        <f>Tabla1[[#This Row],[% interés demora]]*100</f>
        <v>11.899999999999999</v>
      </c>
      <c r="W40">
        <f>Tabla1[[#This Row],[% apertura]]*100</f>
        <v>0</v>
      </c>
    </row>
    <row r="41" spans="2:23" x14ac:dyDescent="0.2">
      <c r="B41" s="4" t="s">
        <v>377</v>
      </c>
      <c r="C41" s="6">
        <v>2040</v>
      </c>
      <c r="D41" s="7" t="s">
        <v>125</v>
      </c>
      <c r="E41" s="8">
        <v>44599</v>
      </c>
      <c r="F41" s="7">
        <v>120</v>
      </c>
      <c r="G41" s="9">
        <v>107425</v>
      </c>
      <c r="H41" s="10">
        <v>0.1095</v>
      </c>
      <c r="I41" s="10">
        <v>0.13950000000000001</v>
      </c>
      <c r="J41" s="9" t="s">
        <v>312</v>
      </c>
      <c r="K41" s="7" t="s">
        <v>94</v>
      </c>
      <c r="L41" s="7" t="s">
        <v>213</v>
      </c>
      <c r="M41" s="7" t="s">
        <v>85</v>
      </c>
      <c r="N41" s="8">
        <v>44974</v>
      </c>
      <c r="O41" s="12">
        <v>0.01</v>
      </c>
      <c r="P41" s="13"/>
      <c r="Q41" s="14" t="s">
        <v>273</v>
      </c>
      <c r="R41" t="s">
        <v>377</v>
      </c>
      <c r="S41">
        <f t="shared" si="0"/>
        <v>7</v>
      </c>
      <c r="T41" s="4" t="s">
        <v>406</v>
      </c>
      <c r="U41">
        <f>Tabla1[[#This Row],[% interés ordinario]]*100</f>
        <v>10.95</v>
      </c>
      <c r="V41">
        <f>Tabla1[[#This Row],[% interés demora]]*100</f>
        <v>13.950000000000001</v>
      </c>
      <c r="W41">
        <f>Tabla1[[#This Row],[% apertura]]*100</f>
        <v>1</v>
      </c>
    </row>
    <row r="42" spans="2:23" x14ac:dyDescent="0.2">
      <c r="B42" s="4" t="s">
        <v>378</v>
      </c>
      <c r="C42" s="15">
        <v>2041</v>
      </c>
      <c r="D42" s="13" t="s">
        <v>44</v>
      </c>
      <c r="E42" s="16">
        <v>44553</v>
      </c>
      <c r="F42" s="13">
        <v>24</v>
      </c>
      <c r="G42" s="17">
        <v>42000</v>
      </c>
      <c r="H42" s="18">
        <v>0.1075</v>
      </c>
      <c r="I42" s="18">
        <v>0.13750000000000001</v>
      </c>
      <c r="J42" s="9" t="s">
        <v>313</v>
      </c>
      <c r="K42" s="13" t="s">
        <v>94</v>
      </c>
      <c r="L42" s="13" t="s">
        <v>209</v>
      </c>
      <c r="M42" s="13" t="s">
        <v>89</v>
      </c>
      <c r="N42" s="16"/>
      <c r="O42" s="19">
        <v>0</v>
      </c>
      <c r="P42" s="13"/>
      <c r="Q42" s="20" t="s">
        <v>252</v>
      </c>
      <c r="R42" t="s">
        <v>378</v>
      </c>
      <c r="S42">
        <f t="shared" si="0"/>
        <v>23</v>
      </c>
      <c r="T42" s="4" t="s">
        <v>408</v>
      </c>
      <c r="U42">
        <f>Tabla1[[#This Row],[% interés ordinario]]*100</f>
        <v>10.75</v>
      </c>
      <c r="V42">
        <f>Tabla1[[#This Row],[% interés demora]]*100</f>
        <v>13.750000000000002</v>
      </c>
      <c r="W42">
        <f>Tabla1[[#This Row],[% apertura]]*100</f>
        <v>0</v>
      </c>
    </row>
    <row r="43" spans="2:23" x14ac:dyDescent="0.2">
      <c r="B43" s="4" t="s">
        <v>403</v>
      </c>
      <c r="C43" s="15">
        <v>2042</v>
      </c>
      <c r="D43" s="13" t="s">
        <v>126</v>
      </c>
      <c r="E43" s="16">
        <v>44709</v>
      </c>
      <c r="F43" s="13">
        <v>120</v>
      </c>
      <c r="G43" s="17">
        <v>107425</v>
      </c>
      <c r="H43" s="18">
        <v>0.1095</v>
      </c>
      <c r="I43" s="11">
        <v>0.13950000000000001</v>
      </c>
      <c r="J43" s="9" t="s">
        <v>338</v>
      </c>
      <c r="K43" s="13" t="s">
        <v>94</v>
      </c>
      <c r="L43" s="13" t="s">
        <v>213</v>
      </c>
      <c r="M43" s="13" t="s">
        <v>89</v>
      </c>
      <c r="N43" s="16"/>
      <c r="O43" s="19">
        <v>0.01</v>
      </c>
      <c r="P43" s="13"/>
      <c r="Q43" s="20" t="s">
        <v>273</v>
      </c>
      <c r="R43" t="s">
        <v>403</v>
      </c>
      <c r="S43">
        <f t="shared" si="0"/>
        <v>28</v>
      </c>
      <c r="T43" s="4" t="s">
        <v>406</v>
      </c>
      <c r="U43">
        <f>Tabla1[[#This Row],[% interés ordinario]]*100</f>
        <v>10.95</v>
      </c>
      <c r="V43">
        <f>Tabla1[[#This Row],[% interés demora]]*100</f>
        <v>13.950000000000001</v>
      </c>
      <c r="W43">
        <f>Tabla1[[#This Row],[% apertura]]*100</f>
        <v>1</v>
      </c>
    </row>
    <row r="44" spans="2:23" x14ac:dyDescent="0.2">
      <c r="B44" s="4" t="s">
        <v>379</v>
      </c>
      <c r="C44" s="6">
        <v>2043</v>
      </c>
      <c r="D44" s="7" t="s">
        <v>45</v>
      </c>
      <c r="E44" s="8">
        <v>44708</v>
      </c>
      <c r="F44" s="7">
        <v>24</v>
      </c>
      <c r="G44" s="9">
        <v>50000</v>
      </c>
      <c r="H44" s="10">
        <v>0.09</v>
      </c>
      <c r="I44" s="29">
        <v>0.12</v>
      </c>
      <c r="J44" s="9" t="s">
        <v>314</v>
      </c>
      <c r="K44" s="7" t="s">
        <v>94</v>
      </c>
      <c r="L44" s="7" t="s">
        <v>209</v>
      </c>
      <c r="M44" s="7" t="s">
        <v>85</v>
      </c>
      <c r="N44" s="8">
        <v>45198</v>
      </c>
      <c r="O44" s="12">
        <v>0</v>
      </c>
      <c r="P44" s="13"/>
      <c r="Q44" s="21" t="s">
        <v>253</v>
      </c>
      <c r="R44" t="s">
        <v>379</v>
      </c>
      <c r="S44">
        <f t="shared" si="0"/>
        <v>27</v>
      </c>
      <c r="T44" s="4" t="s">
        <v>408</v>
      </c>
      <c r="U44">
        <f>Tabla1[[#This Row],[% interés ordinario]]*100</f>
        <v>9</v>
      </c>
      <c r="V44">
        <f>Tabla1[[#This Row],[% interés demora]]*100</f>
        <v>12</v>
      </c>
      <c r="W44">
        <f>Tabla1[[#This Row],[% apertura]]*100</f>
        <v>0</v>
      </c>
    </row>
    <row r="45" spans="2:23" x14ac:dyDescent="0.2">
      <c r="B45" s="4" t="s">
        <v>380</v>
      </c>
      <c r="C45" s="6">
        <v>2044</v>
      </c>
      <c r="D45" s="7" t="s">
        <v>46</v>
      </c>
      <c r="E45" s="8">
        <v>44979</v>
      </c>
      <c r="F45" s="7">
        <v>60</v>
      </c>
      <c r="G45" s="9">
        <v>229425</v>
      </c>
      <c r="H45" s="10">
        <v>9.9500000000000005E-2</v>
      </c>
      <c r="I45" s="29">
        <v>0.1295</v>
      </c>
      <c r="J45" s="9" t="s">
        <v>315</v>
      </c>
      <c r="K45" s="7" t="s">
        <v>94</v>
      </c>
      <c r="L45" s="7" t="s">
        <v>213</v>
      </c>
      <c r="M45" s="7" t="s">
        <v>85</v>
      </c>
      <c r="N45" s="8">
        <v>45164</v>
      </c>
      <c r="O45" s="12">
        <v>0.01</v>
      </c>
      <c r="P45" s="13"/>
      <c r="Q45" s="21" t="s">
        <v>254</v>
      </c>
      <c r="R45" t="s">
        <v>380</v>
      </c>
      <c r="S45">
        <f t="shared" si="0"/>
        <v>22</v>
      </c>
      <c r="T45" s="4" t="s">
        <v>406</v>
      </c>
      <c r="U45">
        <f>Tabla1[[#This Row],[% interés ordinario]]*100</f>
        <v>9.9500000000000011</v>
      </c>
      <c r="V45">
        <f>Tabla1[[#This Row],[% interés demora]]*100</f>
        <v>12.950000000000001</v>
      </c>
      <c r="W45">
        <f>Tabla1[[#This Row],[% apertura]]*100</f>
        <v>1</v>
      </c>
    </row>
    <row r="46" spans="2:23" x14ac:dyDescent="0.2">
      <c r="B46" s="4" t="s">
        <v>381</v>
      </c>
      <c r="C46" s="6">
        <v>2045</v>
      </c>
      <c r="D46" s="7" t="s">
        <v>47</v>
      </c>
      <c r="E46" s="8">
        <v>45237</v>
      </c>
      <c r="F46" s="7">
        <v>24</v>
      </c>
      <c r="G46" s="9">
        <v>10000</v>
      </c>
      <c r="H46" s="10">
        <v>9.0700000000000003E-2</v>
      </c>
      <c r="I46" s="29">
        <v>0.1207</v>
      </c>
      <c r="J46" s="9" t="s">
        <v>316</v>
      </c>
      <c r="K46" s="7" t="s">
        <v>94</v>
      </c>
      <c r="L46" s="7" t="s">
        <v>209</v>
      </c>
      <c r="M46" s="7" t="s">
        <v>85</v>
      </c>
      <c r="N46" s="8">
        <v>45401</v>
      </c>
      <c r="O46" s="12">
        <v>0</v>
      </c>
      <c r="P46" s="13"/>
      <c r="Q46" s="21" t="s">
        <v>255</v>
      </c>
      <c r="R46" t="s">
        <v>381</v>
      </c>
      <c r="S46">
        <f t="shared" si="0"/>
        <v>7</v>
      </c>
      <c r="T46" s="4" t="s">
        <v>408</v>
      </c>
      <c r="U46">
        <f>Tabla1[[#This Row],[% interés ordinario]]*100</f>
        <v>9.07</v>
      </c>
      <c r="V46">
        <f>Tabla1[[#This Row],[% interés demora]]*100</f>
        <v>12.07</v>
      </c>
      <c r="W46">
        <f>Tabla1[[#This Row],[% apertura]]*100</f>
        <v>0</v>
      </c>
    </row>
    <row r="47" spans="2:23" x14ac:dyDescent="0.2">
      <c r="B47" s="4" t="s">
        <v>382</v>
      </c>
      <c r="C47" s="6">
        <v>2046</v>
      </c>
      <c r="D47" s="7" t="s">
        <v>48</v>
      </c>
      <c r="E47" s="8">
        <v>45244</v>
      </c>
      <c r="F47" s="7">
        <v>24</v>
      </c>
      <c r="G47" s="9">
        <v>10000</v>
      </c>
      <c r="H47" s="10">
        <v>9.74E-2</v>
      </c>
      <c r="I47" s="29">
        <v>0.12740000000000001</v>
      </c>
      <c r="J47" s="9" t="s">
        <v>317</v>
      </c>
      <c r="K47" s="7" t="s">
        <v>94</v>
      </c>
      <c r="L47" s="7" t="s">
        <v>209</v>
      </c>
      <c r="M47" s="7" t="s">
        <v>85</v>
      </c>
      <c r="N47" s="8">
        <v>45499</v>
      </c>
      <c r="O47" s="12">
        <v>0</v>
      </c>
      <c r="P47" s="13"/>
      <c r="Q47" s="21" t="s">
        <v>256</v>
      </c>
      <c r="R47" t="s">
        <v>382</v>
      </c>
      <c r="S47">
        <f t="shared" si="0"/>
        <v>14</v>
      </c>
      <c r="T47" s="4" t="s">
        <v>408</v>
      </c>
      <c r="U47">
        <f>Tabla1[[#This Row],[% interés ordinario]]*100</f>
        <v>9.74</v>
      </c>
      <c r="V47">
        <f>Tabla1[[#This Row],[% interés demora]]*100</f>
        <v>12.740000000000002</v>
      </c>
      <c r="W47">
        <f>Tabla1[[#This Row],[% apertura]]*100</f>
        <v>0</v>
      </c>
    </row>
    <row r="48" spans="2:23" x14ac:dyDescent="0.2">
      <c r="B48" s="4" t="s">
        <v>383</v>
      </c>
      <c r="C48" s="6">
        <v>2047</v>
      </c>
      <c r="D48" s="7" t="s">
        <v>127</v>
      </c>
      <c r="E48" s="8">
        <v>45254</v>
      </c>
      <c r="F48" s="7">
        <v>120</v>
      </c>
      <c r="G48" s="9">
        <v>124595</v>
      </c>
      <c r="H48" s="10">
        <v>0.115</v>
      </c>
      <c r="I48" s="29">
        <v>0.14499999999999999</v>
      </c>
      <c r="J48" s="9" t="s">
        <v>318</v>
      </c>
      <c r="K48" s="7" t="s">
        <v>94</v>
      </c>
      <c r="L48" s="7" t="s">
        <v>213</v>
      </c>
      <c r="M48" s="7" t="s">
        <v>85</v>
      </c>
      <c r="N48" s="8">
        <v>45589</v>
      </c>
      <c r="O48" s="12">
        <v>0.01</v>
      </c>
      <c r="P48" s="13"/>
      <c r="Q48" s="14" t="s">
        <v>257</v>
      </c>
      <c r="R48" t="s">
        <v>383</v>
      </c>
      <c r="S48">
        <f t="shared" si="0"/>
        <v>24</v>
      </c>
      <c r="T48" s="4" t="s">
        <v>406</v>
      </c>
      <c r="U48">
        <f>Tabla1[[#This Row],[% interés ordinario]]*100</f>
        <v>11.5</v>
      </c>
      <c r="V48">
        <f>Tabla1[[#This Row],[% interés demora]]*100</f>
        <v>14.499999999999998</v>
      </c>
      <c r="W48">
        <f>Tabla1[[#This Row],[% apertura]]*100</f>
        <v>1</v>
      </c>
    </row>
    <row r="49" spans="2:23" x14ac:dyDescent="0.2">
      <c r="B49" s="4" t="s">
        <v>384</v>
      </c>
      <c r="C49" s="15">
        <v>2048</v>
      </c>
      <c r="D49" s="13" t="s">
        <v>128</v>
      </c>
      <c r="E49" s="16">
        <v>45258</v>
      </c>
      <c r="F49" s="13">
        <v>120</v>
      </c>
      <c r="G49" s="17">
        <v>172975</v>
      </c>
      <c r="H49" s="18">
        <v>0.105</v>
      </c>
      <c r="I49" s="11">
        <v>0.13500000000000001</v>
      </c>
      <c r="J49" s="9" t="s">
        <v>319</v>
      </c>
      <c r="K49" s="13" t="s">
        <v>84</v>
      </c>
      <c r="L49" s="13" t="s">
        <v>213</v>
      </c>
      <c r="M49" s="13" t="s">
        <v>89</v>
      </c>
      <c r="N49" s="16"/>
      <c r="O49" s="19">
        <v>0.01</v>
      </c>
      <c r="P49" s="13"/>
      <c r="Q49" s="20" t="s">
        <v>258</v>
      </c>
      <c r="R49" t="s">
        <v>384</v>
      </c>
      <c r="S49">
        <f t="shared" si="0"/>
        <v>28</v>
      </c>
      <c r="T49" s="4" t="s">
        <v>406</v>
      </c>
      <c r="U49">
        <f>Tabla1[[#This Row],[% interés ordinario]]*100</f>
        <v>10.5</v>
      </c>
      <c r="V49">
        <f>Tabla1[[#This Row],[% interés demora]]*100</f>
        <v>13.5</v>
      </c>
      <c r="W49">
        <f>Tabla1[[#This Row],[% apertura]]*100</f>
        <v>1</v>
      </c>
    </row>
    <row r="50" spans="2:23" x14ac:dyDescent="0.2">
      <c r="B50" s="4" t="s">
        <v>385</v>
      </c>
      <c r="C50" s="6">
        <v>2049</v>
      </c>
      <c r="D50" s="7" t="s">
        <v>51</v>
      </c>
      <c r="E50" s="8">
        <v>45258</v>
      </c>
      <c r="F50" s="7">
        <v>24</v>
      </c>
      <c r="G50" s="9">
        <v>10000</v>
      </c>
      <c r="H50" s="10">
        <v>0.1109</v>
      </c>
      <c r="I50" s="29">
        <v>0.1409</v>
      </c>
      <c r="J50" s="9" t="s">
        <v>320</v>
      </c>
      <c r="K50" s="7" t="s">
        <v>94</v>
      </c>
      <c r="L50" s="7" t="s">
        <v>209</v>
      </c>
      <c r="M50" s="7" t="s">
        <v>85</v>
      </c>
      <c r="N50" s="8">
        <v>45737</v>
      </c>
      <c r="O50" s="12">
        <v>0</v>
      </c>
      <c r="P50" s="13"/>
      <c r="Q50" s="21" t="s">
        <v>259</v>
      </c>
      <c r="R50" t="s">
        <v>385</v>
      </c>
      <c r="S50">
        <f t="shared" si="0"/>
        <v>28</v>
      </c>
      <c r="T50" s="4" t="s">
        <v>408</v>
      </c>
      <c r="U50">
        <f>Tabla1[[#This Row],[% interés ordinario]]*100</f>
        <v>11.09</v>
      </c>
      <c r="V50">
        <f>Tabla1[[#This Row],[% interés demora]]*100</f>
        <v>14.09</v>
      </c>
      <c r="W50">
        <f>Tabla1[[#This Row],[% apertura]]*100</f>
        <v>0</v>
      </c>
    </row>
    <row r="51" spans="2:23" x14ac:dyDescent="0.2">
      <c r="B51" s="4" t="s">
        <v>386</v>
      </c>
      <c r="C51" s="6">
        <v>2050</v>
      </c>
      <c r="D51" s="7" t="s">
        <v>52</v>
      </c>
      <c r="E51" s="8">
        <v>45282</v>
      </c>
      <c r="F51" s="7">
        <v>24</v>
      </c>
      <c r="G51" s="9">
        <v>10000</v>
      </c>
      <c r="H51" s="10">
        <v>9.74E-2</v>
      </c>
      <c r="I51" s="29">
        <v>0.12740000000000001</v>
      </c>
      <c r="J51" s="9" t="s">
        <v>321</v>
      </c>
      <c r="K51" s="7" t="s">
        <v>94</v>
      </c>
      <c r="L51" s="7" t="s">
        <v>209</v>
      </c>
      <c r="M51" s="7" t="s">
        <v>85</v>
      </c>
      <c r="N51" s="8">
        <v>45615</v>
      </c>
      <c r="O51" s="12">
        <v>0</v>
      </c>
      <c r="P51" s="13"/>
      <c r="Q51" s="21" t="s">
        <v>260</v>
      </c>
      <c r="R51" t="s">
        <v>386</v>
      </c>
      <c r="S51">
        <f t="shared" si="0"/>
        <v>22</v>
      </c>
      <c r="T51" s="4" t="s">
        <v>408</v>
      </c>
      <c r="U51">
        <f>Tabla1[[#This Row],[% interés ordinario]]*100</f>
        <v>9.74</v>
      </c>
      <c r="V51">
        <f>Tabla1[[#This Row],[% interés demora]]*100</f>
        <v>12.740000000000002</v>
      </c>
      <c r="W51">
        <f>Tabla1[[#This Row],[% apertura]]*100</f>
        <v>0</v>
      </c>
    </row>
    <row r="52" spans="2:23" x14ac:dyDescent="0.2">
      <c r="B52" s="4" t="s">
        <v>387</v>
      </c>
      <c r="C52" s="6">
        <v>2051</v>
      </c>
      <c r="D52" s="7" t="s">
        <v>53</v>
      </c>
      <c r="E52" s="8">
        <v>45287</v>
      </c>
      <c r="F52" s="7">
        <v>24</v>
      </c>
      <c r="G52" s="9">
        <v>10000</v>
      </c>
      <c r="H52" s="10">
        <v>0.1128</v>
      </c>
      <c r="I52" s="29">
        <v>0.14280000000000001</v>
      </c>
      <c r="J52" s="9" t="s">
        <v>322</v>
      </c>
      <c r="K52" s="7" t="s">
        <v>94</v>
      </c>
      <c r="L52" s="7" t="s">
        <v>209</v>
      </c>
      <c r="M52" s="7" t="s">
        <v>85</v>
      </c>
      <c r="N52" s="8">
        <v>45733</v>
      </c>
      <c r="O52" s="12">
        <v>0</v>
      </c>
      <c r="P52" s="13"/>
      <c r="Q52" s="21" t="s">
        <v>261</v>
      </c>
      <c r="R52" t="s">
        <v>387</v>
      </c>
      <c r="S52">
        <f t="shared" si="0"/>
        <v>27</v>
      </c>
      <c r="T52" s="4" t="s">
        <v>408</v>
      </c>
      <c r="U52">
        <f>Tabla1[[#This Row],[% interés ordinario]]*100</f>
        <v>11.28</v>
      </c>
      <c r="V52">
        <f>Tabla1[[#This Row],[% interés demora]]*100</f>
        <v>14.280000000000001</v>
      </c>
      <c r="W52">
        <f>Tabla1[[#This Row],[% apertura]]*100</f>
        <v>0</v>
      </c>
    </row>
    <row r="53" spans="2:23" x14ac:dyDescent="0.2">
      <c r="B53" s="4" t="s">
        <v>388</v>
      </c>
      <c r="C53" s="6">
        <v>2053</v>
      </c>
      <c r="D53" s="7" t="s">
        <v>129</v>
      </c>
      <c r="E53" s="8">
        <v>45366</v>
      </c>
      <c r="F53" s="7">
        <v>60</v>
      </c>
      <c r="G53" s="9">
        <v>59745</v>
      </c>
      <c r="H53" s="10">
        <v>0.1095</v>
      </c>
      <c r="I53" s="29">
        <v>0.13950000000000001</v>
      </c>
      <c r="J53" s="9" t="s">
        <v>323</v>
      </c>
      <c r="K53" s="7" t="s">
        <v>94</v>
      </c>
      <c r="L53" s="7" t="s">
        <v>213</v>
      </c>
      <c r="M53" s="7" t="s">
        <v>85</v>
      </c>
      <c r="N53" s="8">
        <v>45684</v>
      </c>
      <c r="O53" s="12">
        <v>0.01</v>
      </c>
      <c r="P53" s="13"/>
      <c r="Q53" s="14" t="s">
        <v>262</v>
      </c>
      <c r="R53" t="s">
        <v>388</v>
      </c>
      <c r="S53">
        <f t="shared" si="0"/>
        <v>15</v>
      </c>
      <c r="T53" s="4" t="s">
        <v>406</v>
      </c>
      <c r="U53">
        <f>Tabla1[[#This Row],[% interés ordinario]]*100</f>
        <v>10.95</v>
      </c>
      <c r="V53">
        <f>Tabla1[[#This Row],[% interés demora]]*100</f>
        <v>13.950000000000001</v>
      </c>
      <c r="W53">
        <f>Tabla1[[#This Row],[% apertura]]*100</f>
        <v>1</v>
      </c>
    </row>
    <row r="54" spans="2:23" x14ac:dyDescent="0.2">
      <c r="B54" s="4" t="s">
        <v>389</v>
      </c>
      <c r="C54" s="6">
        <v>2054</v>
      </c>
      <c r="D54" s="7" t="s">
        <v>130</v>
      </c>
      <c r="E54" s="8">
        <v>45366</v>
      </c>
      <c r="F54" s="7">
        <v>60</v>
      </c>
      <c r="G54" s="9">
        <v>118495</v>
      </c>
      <c r="H54" s="10">
        <v>0.1095</v>
      </c>
      <c r="I54" s="29">
        <v>0.13950000000000001</v>
      </c>
      <c r="J54" s="9" t="s">
        <v>324</v>
      </c>
      <c r="K54" s="7" t="s">
        <v>94</v>
      </c>
      <c r="L54" s="7" t="s">
        <v>213</v>
      </c>
      <c r="M54" s="7" t="s">
        <v>85</v>
      </c>
      <c r="N54" s="8">
        <v>45489</v>
      </c>
      <c r="O54" s="12">
        <v>0.01</v>
      </c>
      <c r="P54" s="13"/>
      <c r="Q54" s="14" t="s">
        <v>263</v>
      </c>
      <c r="R54" t="s">
        <v>389</v>
      </c>
      <c r="S54">
        <f t="shared" si="0"/>
        <v>15</v>
      </c>
      <c r="T54" s="4" t="s">
        <v>406</v>
      </c>
      <c r="U54">
        <f>Tabla1[[#This Row],[% interés ordinario]]*100</f>
        <v>10.95</v>
      </c>
      <c r="V54">
        <f>Tabla1[[#This Row],[% interés demora]]*100</f>
        <v>13.950000000000001</v>
      </c>
      <c r="W54">
        <f>Tabla1[[#This Row],[% apertura]]*100</f>
        <v>1</v>
      </c>
    </row>
    <row r="55" spans="2:23" x14ac:dyDescent="0.2">
      <c r="B55" s="4" t="s">
        <v>390</v>
      </c>
      <c r="C55" s="15">
        <v>2055</v>
      </c>
      <c r="D55" s="13" t="s">
        <v>131</v>
      </c>
      <c r="E55" s="16">
        <v>45385</v>
      </c>
      <c r="F55" s="13">
        <v>60</v>
      </c>
      <c r="G55" s="17">
        <v>110000</v>
      </c>
      <c r="H55" s="18">
        <v>0.1</v>
      </c>
      <c r="I55" s="11">
        <v>0.13</v>
      </c>
      <c r="J55" s="9" t="s">
        <v>325</v>
      </c>
      <c r="K55" s="13" t="s">
        <v>94</v>
      </c>
      <c r="L55" s="13" t="s">
        <v>210</v>
      </c>
      <c r="M55" s="13" t="s">
        <v>89</v>
      </c>
      <c r="N55" s="16"/>
      <c r="O55" s="19">
        <v>0.01</v>
      </c>
      <c r="P55" s="13"/>
      <c r="Q55" s="20" t="s">
        <v>264</v>
      </c>
      <c r="R55" t="s">
        <v>390</v>
      </c>
      <c r="S55">
        <f t="shared" si="0"/>
        <v>3</v>
      </c>
      <c r="T55" s="4" t="s">
        <v>407</v>
      </c>
      <c r="U55">
        <f>Tabla1[[#This Row],[% interés ordinario]]*100</f>
        <v>10</v>
      </c>
      <c r="V55">
        <f>Tabla1[[#This Row],[% interés demora]]*100</f>
        <v>13</v>
      </c>
      <c r="W55">
        <f>Tabla1[[#This Row],[% apertura]]*100</f>
        <v>1</v>
      </c>
    </row>
    <row r="56" spans="2:23" x14ac:dyDescent="0.2">
      <c r="B56" s="4" t="s">
        <v>391</v>
      </c>
      <c r="C56" s="15">
        <v>2056</v>
      </c>
      <c r="D56" s="13" t="s">
        <v>132</v>
      </c>
      <c r="E56" s="16">
        <v>45470</v>
      </c>
      <c r="F56" s="13">
        <v>120</v>
      </c>
      <c r="G56" s="17">
        <v>160000</v>
      </c>
      <c r="H56" s="18">
        <v>0.115</v>
      </c>
      <c r="I56" s="11">
        <v>0.14499999999999999</v>
      </c>
      <c r="J56" s="9" t="s">
        <v>312</v>
      </c>
      <c r="K56" s="13" t="s">
        <v>94</v>
      </c>
      <c r="L56" s="13" t="s">
        <v>213</v>
      </c>
      <c r="M56" s="13" t="s">
        <v>89</v>
      </c>
      <c r="N56" s="16"/>
      <c r="O56" s="19">
        <v>0.01</v>
      </c>
      <c r="P56" s="13"/>
      <c r="Q56" s="20" t="s">
        <v>273</v>
      </c>
      <c r="R56" t="s">
        <v>391</v>
      </c>
      <c r="S56">
        <f t="shared" si="0"/>
        <v>27</v>
      </c>
      <c r="T56" s="4" t="s">
        <v>406</v>
      </c>
      <c r="U56">
        <f>Tabla1[[#This Row],[% interés ordinario]]*100</f>
        <v>11.5</v>
      </c>
      <c r="V56">
        <f>Tabla1[[#This Row],[% interés demora]]*100</f>
        <v>14.499999999999998</v>
      </c>
      <c r="W56">
        <f>Tabla1[[#This Row],[% apertura]]*100</f>
        <v>1</v>
      </c>
    </row>
    <row r="57" spans="2:23" x14ac:dyDescent="0.2">
      <c r="B57" s="4" t="s">
        <v>392</v>
      </c>
      <c r="C57" s="30">
        <v>2057</v>
      </c>
      <c r="D57" s="13" t="s">
        <v>133</v>
      </c>
      <c r="E57" s="16">
        <v>45561</v>
      </c>
      <c r="F57" s="13">
        <v>60</v>
      </c>
      <c r="G57" s="17">
        <v>114020</v>
      </c>
      <c r="H57" s="18">
        <v>0.1095</v>
      </c>
      <c r="I57" s="11">
        <v>0.13950000000000001</v>
      </c>
      <c r="J57" s="9" t="s">
        <v>327</v>
      </c>
      <c r="K57" s="13" t="s">
        <v>94</v>
      </c>
      <c r="L57" s="13" t="s">
        <v>213</v>
      </c>
      <c r="M57" s="13" t="s">
        <v>89</v>
      </c>
      <c r="N57" s="16"/>
      <c r="O57" s="19">
        <v>0.01</v>
      </c>
      <c r="P57" s="13"/>
      <c r="Q57" s="20" t="s">
        <v>265</v>
      </c>
      <c r="R57" t="s">
        <v>392</v>
      </c>
      <c r="S57">
        <f t="shared" si="0"/>
        <v>26</v>
      </c>
      <c r="T57" s="4" t="s">
        <v>406</v>
      </c>
      <c r="U57">
        <f>Tabla1[[#This Row],[% interés ordinario]]*100</f>
        <v>10.95</v>
      </c>
      <c r="V57">
        <f>Tabla1[[#This Row],[% interés demora]]*100</f>
        <v>13.950000000000001</v>
      </c>
      <c r="W57">
        <f>Tabla1[[#This Row],[% apertura]]*100</f>
        <v>1</v>
      </c>
    </row>
    <row r="58" spans="2:23" x14ac:dyDescent="0.2">
      <c r="B58" s="4" t="s">
        <v>393</v>
      </c>
      <c r="C58" s="15">
        <v>2058</v>
      </c>
      <c r="D58" s="13" t="s">
        <v>58</v>
      </c>
      <c r="E58" s="16">
        <v>45714</v>
      </c>
      <c r="F58" s="13">
        <v>24</v>
      </c>
      <c r="G58" s="17">
        <v>20000</v>
      </c>
      <c r="H58" s="18">
        <v>0.11</v>
      </c>
      <c r="I58" s="18">
        <v>0.17</v>
      </c>
      <c r="J58" s="9" t="s">
        <v>328</v>
      </c>
      <c r="K58" s="13" t="s">
        <v>94</v>
      </c>
      <c r="L58" s="13" t="s">
        <v>209</v>
      </c>
      <c r="M58" s="13" t="s">
        <v>89</v>
      </c>
      <c r="N58" s="16"/>
      <c r="O58" s="19">
        <v>0</v>
      </c>
      <c r="P58" s="13"/>
      <c r="Q58" s="20" t="s">
        <v>266</v>
      </c>
      <c r="R58" t="s">
        <v>393</v>
      </c>
      <c r="S58">
        <f t="shared" si="0"/>
        <v>26</v>
      </c>
      <c r="T58" s="4" t="s">
        <v>408</v>
      </c>
      <c r="U58">
        <f>Tabla1[[#This Row],[% interés ordinario]]*100</f>
        <v>11</v>
      </c>
      <c r="V58">
        <f>Tabla1[[#This Row],[% interés demora]]*100</f>
        <v>17</v>
      </c>
      <c r="W58">
        <f>Tabla1[[#This Row],[% apertura]]*100</f>
        <v>0</v>
      </c>
    </row>
    <row r="59" spans="2:23" x14ac:dyDescent="0.2">
      <c r="B59" s="4" t="s">
        <v>394</v>
      </c>
      <c r="C59" s="15">
        <v>2059</v>
      </c>
      <c r="D59" s="13" t="s">
        <v>59</v>
      </c>
      <c r="E59" s="16">
        <v>45709</v>
      </c>
      <c r="F59" s="13">
        <v>24</v>
      </c>
      <c r="G59" s="17">
        <v>20000</v>
      </c>
      <c r="H59" s="18">
        <v>0.11</v>
      </c>
      <c r="I59" s="18">
        <v>0.17</v>
      </c>
      <c r="J59" s="9" t="s">
        <v>329</v>
      </c>
      <c r="K59" s="13" t="s">
        <v>94</v>
      </c>
      <c r="L59" s="13" t="s">
        <v>209</v>
      </c>
      <c r="M59" s="13" t="s">
        <v>89</v>
      </c>
      <c r="N59" s="16"/>
      <c r="O59" s="19">
        <v>0</v>
      </c>
      <c r="P59" s="13"/>
      <c r="Q59" s="20" t="s">
        <v>267</v>
      </c>
      <c r="R59" t="s">
        <v>394</v>
      </c>
      <c r="S59">
        <f t="shared" si="0"/>
        <v>21</v>
      </c>
      <c r="T59" s="4" t="s">
        <v>408</v>
      </c>
      <c r="U59">
        <f>Tabla1[[#This Row],[% interés ordinario]]*100</f>
        <v>11</v>
      </c>
      <c r="V59">
        <f>Tabla1[[#This Row],[% interés demora]]*100</f>
        <v>17</v>
      </c>
      <c r="W59">
        <f>Tabla1[[#This Row],[% apertura]]*100</f>
        <v>0</v>
      </c>
    </row>
    <row r="60" spans="2:23" x14ac:dyDescent="0.2">
      <c r="B60" s="4" t="s">
        <v>395</v>
      </c>
      <c r="C60" s="30">
        <v>2060</v>
      </c>
      <c r="D60" s="13" t="s">
        <v>134</v>
      </c>
      <c r="E60" s="16">
        <v>45713</v>
      </c>
      <c r="F60" s="13">
        <v>60</v>
      </c>
      <c r="G60" s="17">
        <v>71940</v>
      </c>
      <c r="H60" s="18">
        <v>0.1095</v>
      </c>
      <c r="I60" s="11">
        <v>0.13950000000000001</v>
      </c>
      <c r="J60" s="9" t="s">
        <v>330</v>
      </c>
      <c r="K60" s="13" t="s">
        <v>94</v>
      </c>
      <c r="L60" s="13" t="s">
        <v>213</v>
      </c>
      <c r="M60" s="13" t="s">
        <v>89</v>
      </c>
      <c r="N60" s="16"/>
      <c r="O60" s="19">
        <v>0.01</v>
      </c>
      <c r="P60" s="13"/>
      <c r="Q60" s="20" t="s">
        <v>268</v>
      </c>
      <c r="R60" t="s">
        <v>395</v>
      </c>
      <c r="S60">
        <f t="shared" si="0"/>
        <v>25</v>
      </c>
      <c r="T60" s="4" t="s">
        <v>406</v>
      </c>
      <c r="U60">
        <f>Tabla1[[#This Row],[% interés ordinario]]*100</f>
        <v>10.95</v>
      </c>
      <c r="V60">
        <f>Tabla1[[#This Row],[% interés demora]]*100</f>
        <v>13.950000000000001</v>
      </c>
      <c r="W60">
        <f>Tabla1[[#This Row],[% apertura]]*100</f>
        <v>1</v>
      </c>
    </row>
    <row r="61" spans="2:23" x14ac:dyDescent="0.2">
      <c r="B61" s="4" t="s">
        <v>396</v>
      </c>
      <c r="C61" s="30">
        <v>2061</v>
      </c>
      <c r="D61" s="13" t="s">
        <v>135</v>
      </c>
      <c r="E61" s="16">
        <v>45742</v>
      </c>
      <c r="F61" s="13">
        <v>60</v>
      </c>
      <c r="G61" s="17">
        <v>143990</v>
      </c>
      <c r="H61" s="18">
        <v>0.1095</v>
      </c>
      <c r="I61" s="11">
        <v>0.13950000000000001</v>
      </c>
      <c r="J61" s="9" t="s">
        <v>331</v>
      </c>
      <c r="K61" s="13" t="s">
        <v>94</v>
      </c>
      <c r="L61" s="13" t="s">
        <v>213</v>
      </c>
      <c r="M61" s="13" t="s">
        <v>89</v>
      </c>
      <c r="N61" s="16"/>
      <c r="O61" s="19">
        <v>0.01</v>
      </c>
      <c r="P61" s="13"/>
      <c r="Q61" s="20" t="s">
        <v>269</v>
      </c>
      <c r="R61" t="s">
        <v>396</v>
      </c>
      <c r="S61">
        <f t="shared" si="0"/>
        <v>26</v>
      </c>
      <c r="T61" s="4" t="s">
        <v>406</v>
      </c>
      <c r="U61">
        <f>Tabla1[[#This Row],[% interés ordinario]]*100</f>
        <v>10.95</v>
      </c>
      <c r="V61">
        <f>Tabla1[[#This Row],[% interés demora]]*100</f>
        <v>13.950000000000001</v>
      </c>
      <c r="W61">
        <f>Tabla1[[#This Row],[% apertura]]*100</f>
        <v>1</v>
      </c>
    </row>
    <row r="62" spans="2:23" x14ac:dyDescent="0.2">
      <c r="B62" s="4" t="s">
        <v>397</v>
      </c>
      <c r="C62" s="30">
        <v>2062</v>
      </c>
      <c r="D62" s="13" t="s">
        <v>136</v>
      </c>
      <c r="E62" s="16">
        <v>45791</v>
      </c>
      <c r="F62" s="13">
        <v>60</v>
      </c>
      <c r="G62" s="17">
        <v>398880</v>
      </c>
      <c r="H62" s="18">
        <v>0.1095</v>
      </c>
      <c r="I62" s="11">
        <v>0.13950000000000001</v>
      </c>
      <c r="J62" s="9" t="s">
        <v>330</v>
      </c>
      <c r="K62" s="13" t="s">
        <v>94</v>
      </c>
      <c r="L62" s="13" t="s">
        <v>213</v>
      </c>
      <c r="M62" s="13" t="s">
        <v>89</v>
      </c>
      <c r="N62" s="16"/>
      <c r="O62" s="19">
        <v>0.01</v>
      </c>
      <c r="P62" s="13"/>
      <c r="Q62" s="20" t="s">
        <v>268</v>
      </c>
      <c r="R62" t="s">
        <v>397</v>
      </c>
      <c r="S62">
        <f t="shared" si="0"/>
        <v>14</v>
      </c>
      <c r="T62" s="4" t="s">
        <v>406</v>
      </c>
      <c r="U62">
        <f>Tabla1[[#This Row],[% interés ordinario]]*100</f>
        <v>10.95</v>
      </c>
      <c r="V62">
        <f>Tabla1[[#This Row],[% interés demora]]*100</f>
        <v>13.950000000000001</v>
      </c>
      <c r="W62">
        <f>Tabla1[[#This Row],[% apertura]]*100</f>
        <v>1</v>
      </c>
    </row>
    <row r="63" spans="2:23" x14ac:dyDescent="0.2">
      <c r="B63" s="4" t="s">
        <v>398</v>
      </c>
      <c r="C63" s="30">
        <v>2063</v>
      </c>
      <c r="D63" s="13" t="s">
        <v>137</v>
      </c>
      <c r="E63" s="16">
        <v>45853</v>
      </c>
      <c r="F63" s="13">
        <v>60</v>
      </c>
      <c r="G63" s="17">
        <v>167150</v>
      </c>
      <c r="H63" s="18">
        <v>0.115</v>
      </c>
      <c r="I63" s="11">
        <v>0.14499999999999999</v>
      </c>
      <c r="J63" s="9" t="s">
        <v>333</v>
      </c>
      <c r="K63" s="13" t="s">
        <v>94</v>
      </c>
      <c r="L63" s="13" t="s">
        <v>212</v>
      </c>
      <c r="M63" s="13" t="s">
        <v>89</v>
      </c>
      <c r="N63" s="16"/>
      <c r="O63" s="19">
        <v>0.01</v>
      </c>
      <c r="P63" s="13"/>
      <c r="Q63" s="20" t="s">
        <v>270</v>
      </c>
      <c r="R63" t="s">
        <v>398</v>
      </c>
      <c r="S63">
        <f t="shared" si="0"/>
        <v>15</v>
      </c>
      <c r="T63" s="4" t="s">
        <v>406</v>
      </c>
      <c r="U63">
        <f>Tabla1[[#This Row],[% interés ordinario]]*100</f>
        <v>11.5</v>
      </c>
      <c r="V63">
        <f>Tabla1[[#This Row],[% interés demora]]*100</f>
        <v>14.499999999999998</v>
      </c>
      <c r="W63">
        <f>Tabla1[[#This Row],[% apertura]]*100</f>
        <v>1</v>
      </c>
    </row>
    <row r="64" spans="2:23" x14ac:dyDescent="0.2">
      <c r="B64" s="4" t="s">
        <v>399</v>
      </c>
      <c r="C64" s="30">
        <v>2064</v>
      </c>
      <c r="D64" s="13" t="s">
        <v>138</v>
      </c>
      <c r="E64" s="16">
        <v>45860</v>
      </c>
      <c r="F64" s="13">
        <v>120</v>
      </c>
      <c r="G64" s="17">
        <v>162220</v>
      </c>
      <c r="H64" s="18">
        <v>0.115</v>
      </c>
      <c r="I64" s="11">
        <v>0.14499999999999999</v>
      </c>
      <c r="J64" s="9" t="s">
        <v>312</v>
      </c>
      <c r="K64" s="13" t="s">
        <v>94</v>
      </c>
      <c r="L64" s="13" t="s">
        <v>213</v>
      </c>
      <c r="M64" s="13" t="s">
        <v>89</v>
      </c>
      <c r="N64" s="16"/>
      <c r="O64" s="19">
        <v>0.01</v>
      </c>
      <c r="P64" s="13"/>
      <c r="Q64" s="20" t="s">
        <v>273</v>
      </c>
      <c r="R64" t="s">
        <v>399</v>
      </c>
      <c r="S64">
        <f t="shared" si="0"/>
        <v>22</v>
      </c>
      <c r="T64" s="4" t="s">
        <v>406</v>
      </c>
      <c r="U64">
        <f>Tabla1[[#This Row],[% interés ordinario]]*100</f>
        <v>11.5</v>
      </c>
      <c r="V64">
        <f>Tabla1[[#This Row],[% interés demora]]*100</f>
        <v>14.499999999999998</v>
      </c>
      <c r="W64">
        <f>Tabla1[[#This Row],[% apertura]]*100</f>
        <v>1</v>
      </c>
    </row>
    <row r="65" spans="2:23" x14ac:dyDescent="0.2">
      <c r="B65" s="4" t="s">
        <v>400</v>
      </c>
      <c r="C65" s="30">
        <v>2065</v>
      </c>
      <c r="D65" s="13" t="s">
        <v>139</v>
      </c>
      <c r="E65" s="16">
        <v>45961</v>
      </c>
      <c r="F65" s="13">
        <v>60</v>
      </c>
      <c r="G65" s="17">
        <v>139760</v>
      </c>
      <c r="H65" s="18">
        <v>0.115</v>
      </c>
      <c r="I65" s="11">
        <v>0.14499999999999999</v>
      </c>
      <c r="J65" s="9" t="s">
        <v>330</v>
      </c>
      <c r="K65" s="13" t="s">
        <v>94</v>
      </c>
      <c r="L65" s="13" t="s">
        <v>213</v>
      </c>
      <c r="M65" s="13" t="s">
        <v>89</v>
      </c>
      <c r="N65" s="16"/>
      <c r="O65" s="19">
        <v>0.02</v>
      </c>
      <c r="P65" s="13"/>
      <c r="Q65" s="20" t="s">
        <v>268</v>
      </c>
      <c r="R65" t="s">
        <v>400</v>
      </c>
      <c r="S65">
        <f t="shared" si="0"/>
        <v>31</v>
      </c>
      <c r="T65" s="4" t="s">
        <v>406</v>
      </c>
      <c r="U65">
        <f>Tabla1[[#This Row],[% interés ordinario]]*100</f>
        <v>11.5</v>
      </c>
      <c r="V65">
        <f>Tabla1[[#This Row],[% interés demora]]*100</f>
        <v>14.499999999999998</v>
      </c>
      <c r="W65">
        <f>Tabla1[[#This Row],[% apertura]]*100</f>
        <v>2</v>
      </c>
    </row>
    <row r="66" spans="2:23" x14ac:dyDescent="0.2">
      <c r="B66" s="4" t="s">
        <v>401</v>
      </c>
      <c r="C66" s="30">
        <v>2066</v>
      </c>
      <c r="D66" s="13" t="s">
        <v>140</v>
      </c>
      <c r="E66" s="16">
        <v>46001</v>
      </c>
      <c r="F66" s="13">
        <v>36</v>
      </c>
      <c r="G66" s="17">
        <v>176950</v>
      </c>
      <c r="H66" s="18">
        <v>0.11</v>
      </c>
      <c r="I66" s="29">
        <v>0.14000000000000001</v>
      </c>
      <c r="J66" s="9" t="s">
        <v>336</v>
      </c>
      <c r="K66" s="13" t="s">
        <v>94</v>
      </c>
      <c r="L66" s="13" t="s">
        <v>211</v>
      </c>
      <c r="M66" s="13" t="s">
        <v>89</v>
      </c>
      <c r="N66" s="16"/>
      <c r="O66" s="19">
        <v>1.7500000000000002E-2</v>
      </c>
      <c r="P66" s="13"/>
      <c r="Q66" s="20" t="s">
        <v>271</v>
      </c>
      <c r="R66" t="s">
        <v>401</v>
      </c>
      <c r="S66">
        <f t="shared" si="0"/>
        <v>10</v>
      </c>
      <c r="T66" s="4" t="s">
        <v>406</v>
      </c>
      <c r="U66">
        <f>Tabla1[[#This Row],[% interés ordinario]]*100</f>
        <v>11</v>
      </c>
      <c r="V66">
        <f>Tabla1[[#This Row],[% interés demora]]*100</f>
        <v>14.000000000000002</v>
      </c>
      <c r="W66">
        <f>Tabla1[[#This Row],[% apertura]]*100</f>
        <v>1.7500000000000002</v>
      </c>
    </row>
    <row r="67" spans="2:23" x14ac:dyDescent="0.2">
      <c r="B67" s="4" t="s">
        <v>402</v>
      </c>
      <c r="C67" s="15">
        <v>2067</v>
      </c>
      <c r="D67" s="13" t="s">
        <v>141</v>
      </c>
      <c r="E67" s="16">
        <v>46009</v>
      </c>
      <c r="F67" s="13">
        <v>36</v>
      </c>
      <c r="G67" s="17">
        <v>549900</v>
      </c>
      <c r="H67" s="18">
        <v>0.115</v>
      </c>
      <c r="I67" s="29">
        <v>0.14499999999999999</v>
      </c>
      <c r="J67" s="9" t="s">
        <v>337</v>
      </c>
      <c r="K67" s="13" t="s">
        <v>94</v>
      </c>
      <c r="L67" s="13" t="s">
        <v>213</v>
      </c>
      <c r="M67" s="13" t="s">
        <v>89</v>
      </c>
      <c r="N67" s="16"/>
      <c r="O67" s="19">
        <v>0.02</v>
      </c>
      <c r="P67" s="13"/>
      <c r="Q67" s="20" t="s">
        <v>272</v>
      </c>
      <c r="R67" t="s">
        <v>402</v>
      </c>
      <c r="S67">
        <f t="shared" si="0"/>
        <v>18</v>
      </c>
      <c r="T67" s="4" t="s">
        <v>406</v>
      </c>
      <c r="U67">
        <f>Tabla1[[#This Row],[% interés ordinario]]*100</f>
        <v>11.5</v>
      </c>
      <c r="V67">
        <f>Tabla1[[#This Row],[% interés demora]]*100</f>
        <v>14.499999999999998</v>
      </c>
      <c r="W67">
        <f>Tabla1[[#This Row],[% apertura]]*100</f>
        <v>2</v>
      </c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31B2-6643-244C-B9F2-8D6E45A2BE0F}">
  <dimension ref="B2:D8"/>
  <sheetViews>
    <sheetView showGridLines="0" workbookViewId="0">
      <selection activeCell="E19" sqref="E19"/>
    </sheetView>
  </sheetViews>
  <sheetFormatPr baseColWidth="10" defaultRowHeight="16" x14ac:dyDescent="0.2"/>
  <cols>
    <col min="3" max="3" width="24" customWidth="1"/>
  </cols>
  <sheetData>
    <row r="2" spans="2:4" x14ac:dyDescent="0.2">
      <c r="B2" t="s">
        <v>409</v>
      </c>
      <c r="C2" t="s">
        <v>414</v>
      </c>
      <c r="D2" t="s">
        <v>415</v>
      </c>
    </row>
    <row r="3" spans="2:4" x14ac:dyDescent="0.2">
      <c r="B3" s="4" t="s">
        <v>422</v>
      </c>
      <c r="C3" s="4">
        <v>2201</v>
      </c>
      <c r="D3" s="4" t="s">
        <v>416</v>
      </c>
    </row>
    <row r="4" spans="2:4" x14ac:dyDescent="0.2">
      <c r="B4" s="4" t="s">
        <v>423</v>
      </c>
      <c r="C4" s="4">
        <v>2202</v>
      </c>
      <c r="D4" s="4" t="s">
        <v>417</v>
      </c>
    </row>
    <row r="5" spans="2:4" x14ac:dyDescent="0.2">
      <c r="B5" s="4" t="s">
        <v>424</v>
      </c>
      <c r="C5" s="4">
        <v>2203</v>
      </c>
      <c r="D5" s="4" t="s">
        <v>418</v>
      </c>
    </row>
    <row r="6" spans="2:4" x14ac:dyDescent="0.2">
      <c r="B6" s="4" t="s">
        <v>425</v>
      </c>
      <c r="C6" s="4">
        <v>2204</v>
      </c>
      <c r="D6" s="4" t="s">
        <v>419</v>
      </c>
    </row>
    <row r="7" spans="2:4" x14ac:dyDescent="0.2">
      <c r="B7" s="4" t="s">
        <v>426</v>
      </c>
      <c r="C7" s="4">
        <v>2205</v>
      </c>
      <c r="D7" s="4" t="s">
        <v>420</v>
      </c>
    </row>
    <row r="8" spans="2:4" x14ac:dyDescent="0.2">
      <c r="B8" s="4" t="s">
        <v>427</v>
      </c>
      <c r="C8" s="4">
        <v>2206</v>
      </c>
      <c r="D8" s="4" t="s">
        <v>421</v>
      </c>
    </row>
  </sheetData>
  <phoneticPr fontId="2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Intermediarios</vt:lpstr>
      <vt:lpstr>Garantías</vt:lpstr>
      <vt:lpstr>Préstamos</vt:lpstr>
      <vt:lpstr>Partícipes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Narcís Magriñà</dc:creator>
  <cp:lastModifiedBy>Narcís Magriñà</cp:lastModifiedBy>
  <dcterms:created xsi:type="dcterms:W3CDTF">2023-03-02T20:57:13Z</dcterms:created>
  <dcterms:modified xsi:type="dcterms:W3CDTF">2026-02-22T18:46:19Z</dcterms:modified>
</cp:coreProperties>
</file>