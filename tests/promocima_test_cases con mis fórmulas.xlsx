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documentación/"/>
    </mc:Choice>
  </mc:AlternateContent>
  <xr:revisionPtr revIDLastSave="0" documentId="13_ncr:1_{C6D134A2-7DDD-B04D-8DD5-BCD3BB7E08B3}" xr6:coauthVersionLast="47" xr6:coauthVersionMax="47" xr10:uidLastSave="{00000000-0000-0000-0000-000000000000}"/>
  <bookViews>
    <workbookView xWindow="21760" yWindow="500" windowWidth="29440" windowHeight="26680" activeTab="1" xr2:uid="{00000000-000D-0000-FFFF-FFFF00000000}"/>
  </bookViews>
  <sheets>
    <sheet name="1_Calendario" sheetId="1" r:id="rId1"/>
    <sheet name="2_Capital_Activo" sheetId="2" r:id="rId2"/>
    <sheet name="3_Situacion" sheetId="3" r:id="rId3"/>
    <sheet name="4_KPIs_Dashboard" sheetId="4" r:id="rId4"/>
    <sheet name="5_Instruc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P11" i="1"/>
  <c r="P10" i="1"/>
  <c r="Q9" i="1"/>
  <c r="Q8" i="1"/>
  <c r="Q7" i="1"/>
  <c r="Q6" i="1"/>
  <c r="P6" i="1"/>
  <c r="P7" i="1"/>
  <c r="P8" i="1"/>
  <c r="P9" i="1"/>
  <c r="R7" i="1" l="1"/>
  <c r="R8" i="1"/>
  <c r="R9" i="1"/>
  <c r="R10" i="1"/>
  <c r="R11" i="1"/>
  <c r="P5" i="1"/>
  <c r="R5" i="1" s="1"/>
  <c r="P4" i="1"/>
  <c r="R4" i="1" s="1"/>
  <c r="P3" i="1"/>
  <c r="D25" i="4"/>
  <c r="D24" i="4"/>
  <c r="D23" i="4"/>
  <c r="D22" i="4"/>
  <c r="D21" i="4"/>
  <c r="D20" i="4"/>
  <c r="D19" i="4"/>
  <c r="D18" i="4"/>
  <c r="D16" i="4"/>
  <c r="D13" i="4"/>
  <c r="R3" i="1" l="1"/>
  <c r="R6" i="1"/>
</calcChain>
</file>

<file path=xl/sharedStrings.xml><?xml version="1.0" encoding="utf-8"?>
<sst xmlns="http://schemas.openxmlformats.org/spreadsheetml/2006/main" count="306" uniqueCount="225">
  <si>
    <t>INSTRUCCIONES: Cada bloque de filas es un caso de prueba. La columna 'Cuota N°' indica qué cuota verificar. Añade filas para nuevos casos.</t>
  </si>
  <si>
    <t>Caso</t>
  </si>
  <si>
    <t>Descripción</t>
  </si>
  <si>
    <t>Tipo préstamo</t>
  </si>
  <si>
    <t>Importe</t>
  </si>
  <si>
    <t>Interés %</t>
  </si>
  <si>
    <t>Meses</t>
  </si>
  <si>
    <t>Fecha inicio</t>
  </si>
  <si>
    <t>Día cobro</t>
  </si>
  <si>
    <t>Meses carencia</t>
  </si>
  <si>
    <t>Cuota N°</t>
  </si>
  <si>
    <t>Fecha esperada</t>
  </si>
  <si>
    <t>Interés esperado</t>
  </si>
  <si>
    <t>Principal esperado</t>
  </si>
  <si>
    <t>Total esperado</t>
  </si>
  <si>
    <t>Notas</t>
  </si>
  <si>
    <t>A1</t>
  </si>
  <si>
    <t>Americano 12m - cuota 1</t>
  </si>
  <si>
    <t>Americano</t>
  </si>
  <si>
    <t>2024-01-15</t>
  </si>
  <si>
    <t>2024-02-15</t>
  </si>
  <si>
    <t>Interés = 100000×6%/12</t>
  </si>
  <si>
    <t>Americano 12m - cuota 12</t>
  </si>
  <si>
    <t>2025-01-15</t>
  </si>
  <si>
    <t>Última cuota devuelve principal</t>
  </si>
  <si>
    <t>A2</t>
  </si>
  <si>
    <t>Americano 24m - cuota 6</t>
  </si>
  <si>
    <t>2024-03-01</t>
  </si>
  <si>
    <t>2024-08-01</t>
  </si>
  <si>
    <t>Interés = 50000×9%/12</t>
  </si>
  <si>
    <t>F1</t>
  </si>
  <si>
    <t>Francés 12m - cuota 1</t>
  </si>
  <si>
    <t>Francés</t>
  </si>
  <si>
    <t>PMT(0.5%,12,100000)</t>
  </si>
  <si>
    <t>Francés 12m - cuota 6</t>
  </si>
  <si>
    <t>2024-07-15</t>
  </si>
  <si>
    <t>Interés sobre saldo reducido</t>
  </si>
  <si>
    <t>Francés 12m - cuota 12</t>
  </si>
  <si>
    <t>Última cuota</t>
  </si>
  <si>
    <t>F2</t>
  </si>
  <si>
    <t>Francés 24m - cuota 1</t>
  </si>
  <si>
    <t>2024-06-01</t>
  </si>
  <si>
    <t>2024-07-01</t>
  </si>
  <si>
    <t>PMT(0.667%,24,60000)</t>
  </si>
  <si>
    <t>FC1</t>
  </si>
  <si>
    <t>Francés carencia 6m - cuota 1</t>
  </si>
  <si>
    <t>Francés con carencia</t>
  </si>
  <si>
    <t>2024-01-01</t>
  </si>
  <si>
    <t>2024-02-01</t>
  </si>
  <si>
    <t>Carencia: solo intereses</t>
  </si>
  <si>
    <t>Francés carencia 6m - cuota 7</t>
  </si>
  <si>
    <t>Post-carencia: PMT sobre saldo completo</t>
  </si>
  <si>
    <t>INSTRUCCIONES: Capital activo = importe – amortizaciones parciales – principal amortizado via cuotas (Francés). Sin cobros = importe completo.</t>
  </si>
  <si>
    <t>Tipo</t>
  </si>
  <si>
    <t>Cobros (resumen)</t>
  </si>
  <si>
    <t>Capital activo esperado</t>
  </si>
  <si>
    <t>Tolerancia €</t>
  </si>
  <si>
    <t>CA1</t>
  </si>
  <si>
    <t>Americano sin cobros</t>
  </si>
  <si>
    <t>Sin cobros</t>
  </si>
  <si>
    <t>Capital = importe íntegro</t>
  </si>
  <si>
    <t>CA2</t>
  </si>
  <si>
    <t>Americano con AP 20k</t>
  </si>
  <si>
    <t>AP 20.000 el 2024-04-15</t>
  </si>
  <si>
    <t>Capital = 100000 - 20000</t>
  </si>
  <si>
    <t>CA3</t>
  </si>
  <si>
    <t>Americano 2 APs</t>
  </si>
  <si>
    <t>AP 20k + AP 10k</t>
  </si>
  <si>
    <t>Capital = 100000 - 30000</t>
  </si>
  <si>
    <t>CF1</t>
  </si>
  <si>
    <t>Francés 12m sin cobros</t>
  </si>
  <si>
    <t>Sin cuotas cobradas = importe</t>
  </si>
  <si>
    <t>CF2</t>
  </si>
  <si>
    <t>Francés 12m cuotas 1-3 cobradas</t>
  </si>
  <si>
    <t>Cuotas 1,2,3 cobradas</t>
  </si>
  <si>
    <t>Descuenta principal de 3 cuotas francesas</t>
  </si>
  <si>
    <t>CF3</t>
  </si>
  <si>
    <t>Francés 12m todas cobradas</t>
  </si>
  <si>
    <t>12 cuotas cobradas</t>
  </si>
  <si>
    <t>Completamente amortizado</t>
  </si>
  <si>
    <t>CF4</t>
  </si>
  <si>
    <t>Francés AP + cuotas cobradas</t>
  </si>
  <si>
    <t>AP 30k + cuotas 1-3 cobradas</t>
  </si>
  <si>
    <t>AP reduce saldo, cuotas sobre saldo menor</t>
  </si>
  <si>
    <t>INSTRUCCIONES: Situación = 'al_dia' si no hay cuotas vencidas sin cobrar, 'con_retraso' en caso contrario. Fecha referencia = 2024-07-01.</t>
  </si>
  <si>
    <t>Situación esperada</t>
  </si>
  <si>
    <t>S1</t>
  </si>
  <si>
    <t>Al día — todas cobradas</t>
  </si>
  <si>
    <t>al_dia</t>
  </si>
  <si>
    <t>Cuotas 1-6 cobradas a 2024-07-01</t>
  </si>
  <si>
    <t>S2</t>
  </si>
  <si>
    <t>Con retraso — cuota 3 sin cobrar</t>
  </si>
  <si>
    <t>con_retraso</t>
  </si>
  <si>
    <t>Cuotas 1,2 cobradas; cuota 3 vencida sin cobrar</t>
  </si>
  <si>
    <t>S3</t>
  </si>
  <si>
    <t>Al día — inicio reciente</t>
  </si>
  <si>
    <t>Solo 1 cuota vencida, cobrada</t>
  </si>
  <si>
    <t>S4</t>
  </si>
  <si>
    <t>Con retraso — ninguna cobrada</t>
  </si>
  <si>
    <t>Cuotas 1-6 vencidas, ninguna cobrada</t>
  </si>
  <si>
    <t>S5</t>
  </si>
  <si>
    <t>Judicializado — siempre null</t>
  </si>
  <si>
    <t>null</t>
  </si>
  <si>
    <t>estado='judicializado' → null</t>
  </si>
  <si>
    <t>S6</t>
  </si>
  <si>
    <t>Cancelado — siempre null</t>
  </si>
  <si>
    <t>estado='cancelado' → null</t>
  </si>
  <si>
    <t>INSTRUCCIONES: Juego de datos mínimo con 3 préstamos, 2 partícipes, cobros parciales. Fecha referencia: 2024-07-01.</t>
  </si>
  <si>
    <t>DATASET DE PRUEBA</t>
  </si>
  <si>
    <t>Elemento</t>
  </si>
  <si>
    <t>Detalle</t>
  </si>
  <si>
    <t>P1</t>
  </si>
  <si>
    <t>Americano 100.000€ 6% 12m inicio 2024-01-15. Estado: activo. Garantía tasación: 200.000€</t>
  </si>
  <si>
    <t>P2</t>
  </si>
  <si>
    <t>Francés 60.000€ 8% 24m inicio 2024-03-01. Estado: activo. 3 cuotas cobradas. Garantía: 90.000€</t>
  </si>
  <si>
    <t>P3</t>
  </si>
  <si>
    <t>Americano 80.000€ 9% 18m inicio 2023-06-01. Estado: judicializado. Garantía: 120.000€</t>
  </si>
  <si>
    <t>CCP1</t>
  </si>
  <si>
    <t>Partícipe A — P1: 40.000€ participación (40%). Gestión 2%.</t>
  </si>
  <si>
    <t>CCP2</t>
  </si>
  <si>
    <t>Partícipe B — P2: 30.000€ participación (50%). Gestión 2%.</t>
  </si>
  <si>
    <t>CCP3</t>
  </si>
  <si>
    <t>Partícipe A — P3: 20.000€ participación (25%). Gestión 2%.</t>
  </si>
  <si>
    <t>VALORES ESPERADOS — KPI 1: Capital</t>
  </si>
  <si>
    <t>ID Test</t>
  </si>
  <si>
    <t>KPI</t>
  </si>
  <si>
    <t>Sub-KPI</t>
  </si>
  <si>
    <t>Valor esperado</t>
  </si>
  <si>
    <t>Cálculo</t>
  </si>
  <si>
    <t>K1.1</t>
  </si>
  <si>
    <t>Capital</t>
  </si>
  <si>
    <t>Desplegado (capitalEnCurso)</t>
  </si>
  <si>
    <t>P1+P2+P3 nominal</t>
  </si>
  <si>
    <t>K1.2</t>
  </si>
  <si>
    <t>En curso (capitalActivo = vivo real)</t>
  </si>
  <si>
    <t>≈230000</t>
  </si>
  <si>
    <t>P1 sin amort + P2 descontando cuotas francesas + P3</t>
  </si>
  <si>
    <t>K1.3</t>
  </si>
  <si>
    <t>Activo (sin judicial)</t>
  </si>
  <si>
    <t>≈149000</t>
  </si>
  <si>
    <t>P1 + P2 descontando cuotas (P3 excluido)</t>
  </si>
  <si>
    <t>K1.4</t>
  </si>
  <si>
    <t>Judicializado</t>
  </si>
  <si>
    <t>P3 completo (sin cobros)</t>
  </si>
  <si>
    <t>K1.5</t>
  </si>
  <si>
    <t>% judicializado</t>
  </si>
  <si>
    <t>≈34%</t>
  </si>
  <si>
    <t>80000 / 240000</t>
  </si>
  <si>
    <t>K1.6</t>
  </si>
  <si>
    <t>Participado activo</t>
  </si>
  <si>
    <t>CCP1+CCP2 (CCP3 en judicial, incluido en capitalParticipado)</t>
  </si>
  <si>
    <t>K3.1</t>
  </si>
  <si>
    <t>Operaciones</t>
  </si>
  <si>
    <t>Op. totales</t>
  </si>
  <si>
    <t>P1+P2+P3</t>
  </si>
  <si>
    <t>K3.2</t>
  </si>
  <si>
    <t>Canceladas</t>
  </si>
  <si>
    <t>Ninguna cancelada</t>
  </si>
  <si>
    <t>K3.3</t>
  </si>
  <si>
    <t>En curso</t>
  </si>
  <si>
    <t>K3.4</t>
  </si>
  <si>
    <t>Judicializadas</t>
  </si>
  <si>
    <t>K3.5</t>
  </si>
  <si>
    <t>Activas</t>
  </si>
  <si>
    <t>P1+P2</t>
  </si>
  <si>
    <t>K3.6</t>
  </si>
  <si>
    <t>Al día</t>
  </si>
  <si>
    <t>P1 sin retrasos; P2 depende de cobros</t>
  </si>
  <si>
    <t>K4.1</t>
  </si>
  <si>
    <t>LTV</t>
  </si>
  <si>
    <t>Total garantías en curso</t>
  </si>
  <si>
    <t>P1+P2+P3 tasación</t>
  </si>
  <si>
    <t>K4.2</t>
  </si>
  <si>
    <t>LTV op. en curso</t>
  </si>
  <si>
    <t>≈58.5%</t>
  </si>
  <si>
    <t>capitalActivo / 410000</t>
  </si>
  <si>
    <t>K4.3</t>
  </si>
  <si>
    <t>Garantías partícipes</t>
  </si>
  <si>
    <t>≈80000+45000+30000</t>
  </si>
  <si>
    <t>P1×40% + P2×50% + P3×25%</t>
  </si>
  <si>
    <t>K4.4</t>
  </si>
  <si>
    <t>LTV partícipes</t>
  </si>
  <si>
    <t>≈~50%</t>
  </si>
  <si>
    <t>capitalParticipado / garantíasPartícipes</t>
  </si>
  <si>
    <t>K5.1</t>
  </si>
  <si>
    <t>Duración</t>
  </si>
  <si>
    <t>Media en curso (meses desde inicio hasta hoy)</t>
  </si>
  <si>
    <t>≈13</t>
  </si>
  <si>
    <t>(P1:168d + P2:122d + P3:397d)/3/30</t>
  </si>
  <si>
    <t>K5.2</t>
  </si>
  <si>
    <t>Media activas</t>
  </si>
  <si>
    <t>≈8</t>
  </si>
  <si>
    <t>(P1+P2 días)/2/30</t>
  </si>
  <si>
    <t>K5.3</t>
  </si>
  <si>
    <t>Media judicializadas</t>
  </si>
  <si>
    <t>P3 días/30</t>
  </si>
  <si>
    <t>CÓMO USAR ESTE FICHERO DE CASOS DE PRUEBA</t>
  </si>
  <si>
    <t>1. ESTRUCTURA</t>
  </si>
  <si>
    <t xml:space="preserve">   · Hoja 1_Calendario   → Casos para generateCalendarioTeorico(): verifica cuota por cuota (fecha, interés, principal, total)</t>
  </si>
  <si>
    <t xml:space="preserve">   · Hoja 2_Capital_Activo → Casos para calcCapitalActivoPrestamo(): verifica el capital vivo tras cobros/amortizaciones</t>
  </si>
  <si>
    <t xml:space="preserve">   · Hoja 3_Situacion    → Casos para calcSituacionPrestamo(): verifica si un préstamo está 'al_dia' o 'con_retraso'</t>
  </si>
  <si>
    <t xml:space="preserve">   · Hoja 4_KPIs_Dashboard → Valores esperados para los KPIs del Dashboard con un dataset de prueba concreto</t>
  </si>
  <si>
    <t>2. CÓMO AÑADIR UN NUEVO CASO</t>
  </si>
  <si>
    <t xml:space="preserve">   · Añade una fila al final de la hoja correspondiente</t>
  </si>
  <si>
    <t xml:space="preserve">   · Asigna un ID único (A3, F5, CA6, S7, K1.7...)</t>
  </si>
  <si>
    <t xml:space="preserve">   · Rellena todos los campos de entrada</t>
  </si>
  <si>
    <t xml:space="preserve">   · Calcula el valor esperado manualmente o con Excel y ponlo en la columna correspondiente</t>
  </si>
  <si>
    <t xml:space="preserve">   · Añade una nota explicando el cálculo</t>
  </si>
  <si>
    <t>3. CÓMO EJECUTAR LOS TESTS</t>
  </si>
  <si>
    <t xml:space="preserve">   · Desde la raíz del proyecto: node tests/promocima.test.js</t>
  </si>
  <si>
    <t xml:space="preserve">   · Resultado: ✓ (pasa) o ✗ (falla) por cada caso, con el valor obtenido vs esperado</t>
  </si>
  <si>
    <t xml:space="preserve">   · Tolerancia por defecto: ±0.01€ para importes, ±0.1% para porcentajes</t>
  </si>
  <si>
    <t>4. CONVENCIONES</t>
  </si>
  <si>
    <t xml:space="preserve">   · Fechas: formato YYYY-MM-DD</t>
  </si>
  <si>
    <t xml:space="preserve">   · Importes: en euros, sin símbolo</t>
  </si>
  <si>
    <t xml:space="preserve">   · Intereses: en % (ej: 6.0 = 6%)</t>
  </si>
  <si>
    <t xml:space="preserve">   · Tipos de préstamo: 'Americano', 'Francés', 'Francés con carencia'</t>
  </si>
  <si>
    <t xml:space="preserve">   · Tipos de cobro: 'pago_cuota', 'amortizacion_parcial', 'cancelacion'</t>
  </si>
  <si>
    <t>5. CAMPOS COBROS (formato JSON en columna 'Cobros')</t>
  </si>
  <si>
    <t xml:space="preserve">   · Ejemplo: [{"tipo":"pago_cuota","cuota_num":"1","importe":500,"fecha_real":"2024-02-15"}]</t>
  </si>
  <si>
    <t xml:space="preserve">   · Para amortización parcial: {"tipo":"amortizacion_parcial","importe_principal":20000,"fecha_real":"2024-04-15"}</t>
  </si>
  <si>
    <t>Corrección interés esperado</t>
  </si>
  <si>
    <t>Corrección principal esperado</t>
  </si>
  <si>
    <t>Coincidencia</t>
  </si>
  <si>
    <t>Corrección Capital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</si>
</sst>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i/>
      <sz val="9"/>
      <color rgb="FF666666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3"/>
      <name val="Calibri"/>
      <family val="2"/>
    </font>
    <font>
      <b/>
      <sz val="11"/>
      <color rgb="FF0070C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rgb="FF666666"/>
      <name val="Calibri (Cuerpo)"/>
    </font>
    <font>
      <sz val="12"/>
      <color theme="1"/>
      <name val="Calibri (Cuerpo)"/>
    </font>
    <font>
      <b/>
      <sz val="12"/>
      <color rgb="FFFFFFFF"/>
      <name val="Calibri (Cuerpo)"/>
    </font>
    <font>
      <sz val="12"/>
      <name val="Calibri (Cuerpo)"/>
    </font>
  </fonts>
  <fills count="17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404040"/>
      </patternFill>
    </fill>
    <fill>
      <patternFill patternType="solid">
        <fgColor rgb="FFF0F8FF"/>
      </patternFill>
    </fill>
    <fill>
      <patternFill patternType="solid">
        <fgColor rgb="FFE8F4FD"/>
      </patternFill>
    </fill>
    <fill>
      <patternFill patternType="solid">
        <fgColor rgb="FFF5F0FF"/>
      </patternFill>
    </fill>
    <fill>
      <patternFill patternType="solid">
        <fgColor rgb="FFEDEBFA"/>
      </patternFill>
    </fill>
    <fill>
      <patternFill patternType="solid">
        <fgColor rgb="FFFFF8EE"/>
      </patternFill>
    </fill>
    <fill>
      <patternFill patternType="solid">
        <fgColor rgb="FFFEF3E2"/>
      </patternFill>
    </fill>
    <fill>
      <patternFill patternType="solid">
        <fgColor rgb="FFF1FAF1"/>
      </patternFill>
    </fill>
    <fill>
      <patternFill patternType="solid">
        <fgColor rgb="FFE9F5E9"/>
      </patternFill>
    </fill>
    <fill>
      <patternFill patternType="solid">
        <fgColor theme="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0" fillId="16" borderId="0" applyNumberFormat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4" fontId="3" fillId="3" borderId="2" xfId="0" applyNumberFormat="1" applyFont="1" applyFill="1" applyBorder="1" applyAlignment="1">
      <alignment horizontal="left" wrapText="1"/>
    </xf>
    <xf numFmtId="10" fontId="3" fillId="3" borderId="2" xfId="0" applyNumberFormat="1" applyFont="1" applyFill="1" applyBorder="1" applyAlignment="1">
      <alignment horizontal="left" wrapText="1"/>
    </xf>
    <xf numFmtId="4" fontId="3" fillId="3" borderId="2" xfId="0" applyNumberFormat="1" applyFont="1" applyFill="1" applyBorder="1" applyAlignment="1">
      <alignment horizontal="right" wrapText="1"/>
    </xf>
    <xf numFmtId="0" fontId="3" fillId="4" borderId="2" xfId="0" applyFont="1" applyFill="1" applyBorder="1" applyAlignment="1">
      <alignment horizontal="left" wrapText="1"/>
    </xf>
    <xf numFmtId="4" fontId="3" fillId="4" borderId="2" xfId="0" applyNumberFormat="1" applyFont="1" applyFill="1" applyBorder="1" applyAlignment="1">
      <alignment horizontal="left" wrapText="1"/>
    </xf>
    <xf numFmtId="10" fontId="3" fillId="4" borderId="2" xfId="0" applyNumberFormat="1" applyFont="1" applyFill="1" applyBorder="1" applyAlignment="1">
      <alignment horizontal="left" wrapText="1"/>
    </xf>
    <xf numFmtId="4" fontId="3" fillId="4" borderId="2" xfId="0" applyNumberFormat="1" applyFont="1" applyFill="1" applyBorder="1" applyAlignment="1">
      <alignment horizontal="right" wrapText="1"/>
    </xf>
    <xf numFmtId="0" fontId="3" fillId="5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7" borderId="1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left" wrapText="1"/>
    </xf>
    <xf numFmtId="0" fontId="5" fillId="8" borderId="2" xfId="0" applyFont="1" applyFill="1" applyBorder="1" applyAlignment="1">
      <alignment horizontal="left" wrapText="1"/>
    </xf>
    <xf numFmtId="0" fontId="3" fillId="9" borderId="2" xfId="0" applyFont="1" applyFill="1" applyBorder="1" applyAlignment="1">
      <alignment horizontal="left" wrapText="1"/>
    </xf>
    <xf numFmtId="0" fontId="5" fillId="9" borderId="2" xfId="0" applyFont="1" applyFill="1" applyBorder="1" applyAlignment="1">
      <alignment horizontal="left" wrapText="1"/>
    </xf>
    <xf numFmtId="0" fontId="3" fillId="10" borderId="2" xfId="0" applyFont="1" applyFill="1" applyBorder="1" applyAlignment="1">
      <alignment horizontal="left" wrapText="1"/>
    </xf>
    <xf numFmtId="0" fontId="5" fillId="10" borderId="2" xfId="0" applyFont="1" applyFill="1" applyBorder="1" applyAlignment="1">
      <alignment horizontal="left" wrapText="1"/>
    </xf>
    <xf numFmtId="0" fontId="3" fillId="11" borderId="2" xfId="0" applyFont="1" applyFill="1" applyBorder="1" applyAlignment="1">
      <alignment horizontal="left" wrapText="1"/>
    </xf>
    <xf numFmtId="0" fontId="5" fillId="11" borderId="2" xfId="0" applyFont="1" applyFill="1" applyBorder="1" applyAlignment="1">
      <alignment horizontal="left" wrapText="1"/>
    </xf>
    <xf numFmtId="0" fontId="3" fillId="12" borderId="2" xfId="0" applyFont="1" applyFill="1" applyBorder="1" applyAlignment="1">
      <alignment horizontal="left" wrapText="1"/>
    </xf>
    <xf numFmtId="0" fontId="5" fillId="12" borderId="2" xfId="0" applyFont="1" applyFill="1" applyBorder="1" applyAlignment="1">
      <alignment horizontal="left" wrapText="1"/>
    </xf>
    <xf numFmtId="0" fontId="3" fillId="13" borderId="2" xfId="0" applyFont="1" applyFill="1" applyBorder="1" applyAlignment="1">
      <alignment horizontal="left" wrapText="1"/>
    </xf>
    <xf numFmtId="0" fontId="5" fillId="13" borderId="2" xfId="0" applyFont="1" applyFill="1" applyBorder="1" applyAlignment="1">
      <alignment horizontal="left" wrapText="1"/>
    </xf>
    <xf numFmtId="0" fontId="3" fillId="14" borderId="2" xfId="0" applyFont="1" applyFill="1" applyBorder="1" applyAlignment="1">
      <alignment horizontal="left" wrapText="1"/>
    </xf>
    <xf numFmtId="0" fontId="5" fillId="14" borderId="2" xfId="0" applyFont="1" applyFill="1" applyBorder="1" applyAlignment="1">
      <alignment horizontal="left" wrapText="1"/>
    </xf>
    <xf numFmtId="0" fontId="3" fillId="15" borderId="2" xfId="0" applyFont="1" applyFill="1" applyBorder="1" applyAlignment="1">
      <alignment horizontal="left" wrapText="1"/>
    </xf>
    <xf numFmtId="0" fontId="5" fillId="15" borderId="2" xfId="0" applyFont="1" applyFill="1" applyBorder="1" applyAlignment="1">
      <alignment horizontal="left" wrapText="1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12" fillId="0" borderId="0" xfId="0" applyFont="1"/>
    <xf numFmtId="0" fontId="13" fillId="2" borderId="1" xfId="0" applyFont="1" applyFill="1" applyBorder="1" applyAlignment="1">
      <alignment horizontal="center" wrapText="1"/>
    </xf>
    <xf numFmtId="0" fontId="14" fillId="3" borderId="2" xfId="0" applyFont="1" applyFill="1" applyBorder="1" applyAlignment="1">
      <alignment horizontal="left" wrapText="1"/>
    </xf>
    <xf numFmtId="4" fontId="14" fillId="3" borderId="2" xfId="0" applyNumberFormat="1" applyFont="1" applyFill="1" applyBorder="1" applyAlignment="1">
      <alignment horizontal="left" wrapText="1"/>
    </xf>
    <xf numFmtId="10" fontId="14" fillId="3" borderId="2" xfId="0" applyNumberFormat="1" applyFont="1" applyFill="1" applyBorder="1" applyAlignment="1">
      <alignment horizontal="left" wrapText="1"/>
    </xf>
    <xf numFmtId="0" fontId="14" fillId="3" borderId="2" xfId="0" applyFont="1" applyFill="1" applyBorder="1" applyAlignment="1">
      <alignment horizontal="center" wrapText="1"/>
    </xf>
    <xf numFmtId="4" fontId="14" fillId="3" borderId="2" xfId="0" applyNumberFormat="1" applyFont="1" applyFill="1" applyBorder="1" applyAlignment="1">
      <alignment horizontal="right" wrapText="1"/>
    </xf>
    <xf numFmtId="0" fontId="14" fillId="4" borderId="2" xfId="0" applyFont="1" applyFill="1" applyBorder="1" applyAlignment="1">
      <alignment horizontal="left" wrapText="1"/>
    </xf>
    <xf numFmtId="4" fontId="14" fillId="4" borderId="2" xfId="0" applyNumberFormat="1" applyFont="1" applyFill="1" applyBorder="1" applyAlignment="1">
      <alignment horizontal="left" wrapText="1"/>
    </xf>
    <xf numFmtId="10" fontId="14" fillId="4" borderId="2" xfId="0" applyNumberFormat="1" applyFont="1" applyFill="1" applyBorder="1" applyAlignment="1">
      <alignment horizontal="left" wrapText="1"/>
    </xf>
    <xf numFmtId="0" fontId="14" fillId="4" borderId="2" xfId="0" applyFont="1" applyFill="1" applyBorder="1" applyAlignment="1">
      <alignment horizontal="center" wrapText="1"/>
    </xf>
    <xf numFmtId="4" fontId="14" fillId="4" borderId="2" xfId="0" applyNumberFormat="1" applyFont="1" applyFill="1" applyBorder="1" applyAlignment="1">
      <alignment horizontal="right" wrapText="1"/>
    </xf>
    <xf numFmtId="0" fontId="9" fillId="16" borderId="0" xfId="2" applyFont="1" applyAlignment="1">
      <alignment horizontal="right"/>
    </xf>
    <xf numFmtId="43" fontId="12" fillId="0" borderId="0" xfId="1" applyFont="1"/>
    <xf numFmtId="0" fontId="9" fillId="16" borderId="0" xfId="2" applyFont="1" applyAlignment="1">
      <alignment horizontal="right" wrapText="1"/>
    </xf>
    <xf numFmtId="0" fontId="11" fillId="0" borderId="0" xfId="0" applyFont="1"/>
    <xf numFmtId="0" fontId="12" fillId="0" borderId="0" xfId="0" applyFont="1"/>
    <xf numFmtId="0" fontId="1" fillId="0" borderId="0" xfId="0" applyFont="1"/>
    <xf numFmtId="0" fontId="0" fillId="0" borderId="0" xfId="0"/>
    <xf numFmtId="0" fontId="4" fillId="7" borderId="0" xfId="0" applyFont="1" applyFill="1" applyAlignment="1">
      <alignment horizontal="left"/>
    </xf>
    <xf numFmtId="0" fontId="10" fillId="16" borderId="3" xfId="2" applyBorder="1" applyAlignment="1">
      <alignment horizontal="center" wrapText="1"/>
    </xf>
  </cellXfs>
  <cellStyles count="3">
    <cellStyle name="Énfasis4" xfId="2" builtinId="41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workbookViewId="0">
      <pane ySplit="2" topLeftCell="A3" activePane="bottomLeft" state="frozen"/>
      <selection pane="bottomLeft" activeCell="M34" sqref="M34"/>
    </sheetView>
  </sheetViews>
  <sheetFormatPr baseColWidth="10" defaultColWidth="8.83203125" defaultRowHeight="16" x14ac:dyDescent="0.2"/>
  <cols>
    <col min="1" max="1" width="5" style="33" bestFit="1" customWidth="1"/>
    <col min="2" max="2" width="26.1640625" style="33" customWidth="1"/>
    <col min="3" max="3" width="18.83203125" style="33" customWidth="1"/>
    <col min="4" max="4" width="10.1640625" style="33" bestFit="1" customWidth="1"/>
    <col min="5" max="5" width="7" style="33" bestFit="1" customWidth="1"/>
    <col min="6" max="6" width="6.5" style="33" bestFit="1" customWidth="1"/>
    <col min="7" max="7" width="10.83203125" style="33" bestFit="1" customWidth="1"/>
    <col min="8" max="8" width="9.1640625" style="33" bestFit="1" customWidth="1"/>
    <col min="9" max="9" width="8" style="33" bestFit="1" customWidth="1"/>
    <col min="10" max="10" width="8.5" style="33" bestFit="1" customWidth="1"/>
    <col min="11" max="11" width="10.5" style="33" bestFit="1" customWidth="1"/>
    <col min="12" max="12" width="15.1640625" style="33" bestFit="1" customWidth="1"/>
    <col min="13" max="13" width="16.33203125" style="33" bestFit="1" customWidth="1"/>
    <col min="14" max="14" width="10.1640625" style="33" bestFit="1" customWidth="1"/>
    <col min="15" max="15" width="27" style="33" customWidth="1"/>
    <col min="16" max="16" width="16.6640625" style="33" customWidth="1"/>
    <col min="17" max="17" width="13.6640625" style="33" customWidth="1"/>
    <col min="18" max="18" width="22.6640625" style="33" customWidth="1"/>
    <col min="19" max="16384" width="8.83203125" style="33"/>
  </cols>
  <sheetData>
    <row r="1" spans="1:18" x14ac:dyDescent="0.2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8" ht="34" x14ac:dyDescent="0.2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  <c r="N2" s="34" t="s">
        <v>14</v>
      </c>
      <c r="O2" s="34" t="s">
        <v>15</v>
      </c>
      <c r="P2" s="47" t="s">
        <v>221</v>
      </c>
      <c r="Q2" s="47" t="s">
        <v>222</v>
      </c>
      <c r="R2" s="45" t="s">
        <v>223</v>
      </c>
    </row>
    <row r="3" spans="1:18" ht="17" x14ac:dyDescent="0.2">
      <c r="A3" s="35" t="s">
        <v>16</v>
      </c>
      <c r="B3" s="35" t="s">
        <v>17</v>
      </c>
      <c r="C3" s="35" t="s">
        <v>18</v>
      </c>
      <c r="D3" s="36">
        <v>100000</v>
      </c>
      <c r="E3" s="37">
        <v>0.06</v>
      </c>
      <c r="F3" s="35">
        <v>12</v>
      </c>
      <c r="G3" s="35" t="s">
        <v>19</v>
      </c>
      <c r="H3" s="35">
        <v>15</v>
      </c>
      <c r="I3" s="35">
        <v>0</v>
      </c>
      <c r="J3" s="38">
        <v>1</v>
      </c>
      <c r="K3" s="38" t="s">
        <v>20</v>
      </c>
      <c r="L3" s="39">
        <v>500</v>
      </c>
      <c r="M3" s="39">
        <v>0</v>
      </c>
      <c r="N3" s="39">
        <v>500</v>
      </c>
      <c r="O3" s="35" t="s">
        <v>21</v>
      </c>
      <c r="P3" s="46">
        <f>D3*E3/12</f>
        <v>500</v>
      </c>
      <c r="Q3" s="46"/>
      <c r="R3" s="46" t="str">
        <f t="shared" ref="R3:R11" si="0">IF(P3&lt;&gt;L3,"No cuadra la cuota", IF(Q3&lt;&gt;M3,"No cuadra el principal","OK"))</f>
        <v>OK</v>
      </c>
    </row>
    <row r="4" spans="1:18" ht="17" x14ac:dyDescent="0.2">
      <c r="A4" s="40" t="s">
        <v>16</v>
      </c>
      <c r="B4" s="40" t="s">
        <v>22</v>
      </c>
      <c r="C4" s="40" t="s">
        <v>18</v>
      </c>
      <c r="D4" s="41">
        <v>100000</v>
      </c>
      <c r="E4" s="42">
        <v>0.06</v>
      </c>
      <c r="F4" s="40">
        <v>12</v>
      </c>
      <c r="G4" s="40" t="s">
        <v>19</v>
      </c>
      <c r="H4" s="40">
        <v>15</v>
      </c>
      <c r="I4" s="40">
        <v>0</v>
      </c>
      <c r="J4" s="43">
        <v>12</v>
      </c>
      <c r="K4" s="43" t="s">
        <v>23</v>
      </c>
      <c r="L4" s="44">
        <v>500</v>
      </c>
      <c r="M4" s="44">
        <v>100000</v>
      </c>
      <c r="N4" s="44">
        <v>100500</v>
      </c>
      <c r="O4" s="40" t="s">
        <v>24</v>
      </c>
      <c r="P4" s="46">
        <f>D4*E4/12</f>
        <v>500</v>
      </c>
      <c r="Q4" s="46">
        <v>100000</v>
      </c>
      <c r="R4" s="46" t="str">
        <f t="shared" si="0"/>
        <v>OK</v>
      </c>
    </row>
    <row r="5" spans="1:18" ht="17" x14ac:dyDescent="0.2">
      <c r="A5" s="35" t="s">
        <v>25</v>
      </c>
      <c r="B5" s="35" t="s">
        <v>26</v>
      </c>
      <c r="C5" s="35" t="s">
        <v>18</v>
      </c>
      <c r="D5" s="36">
        <v>50000</v>
      </c>
      <c r="E5" s="37">
        <v>0.09</v>
      </c>
      <c r="F5" s="35">
        <v>24</v>
      </c>
      <c r="G5" s="35" t="s">
        <v>27</v>
      </c>
      <c r="H5" s="35">
        <v>1</v>
      </c>
      <c r="I5" s="35">
        <v>0</v>
      </c>
      <c r="J5" s="38">
        <v>6</v>
      </c>
      <c r="K5" s="38" t="s">
        <v>28</v>
      </c>
      <c r="L5" s="39">
        <v>375</v>
      </c>
      <c r="M5" s="39">
        <v>0</v>
      </c>
      <c r="N5" s="39">
        <v>375</v>
      </c>
      <c r="O5" s="35" t="s">
        <v>29</v>
      </c>
      <c r="P5" s="46">
        <f>D5*E5/12</f>
        <v>375</v>
      </c>
      <c r="Q5" s="46"/>
      <c r="R5" s="46" t="str">
        <f t="shared" si="0"/>
        <v>OK</v>
      </c>
    </row>
    <row r="6" spans="1:18" ht="17" x14ac:dyDescent="0.2">
      <c r="A6" s="40" t="s">
        <v>30</v>
      </c>
      <c r="B6" s="40" t="s">
        <v>31</v>
      </c>
      <c r="C6" s="40" t="s">
        <v>32</v>
      </c>
      <c r="D6" s="41">
        <v>100000</v>
      </c>
      <c r="E6" s="42">
        <v>0.06</v>
      </c>
      <c r="F6" s="40">
        <v>12</v>
      </c>
      <c r="G6" s="40" t="s">
        <v>19</v>
      </c>
      <c r="H6" s="40">
        <v>15</v>
      </c>
      <c r="I6" s="40">
        <v>0</v>
      </c>
      <c r="J6" s="43">
        <v>1</v>
      </c>
      <c r="K6" s="43" t="s">
        <v>20</v>
      </c>
      <c r="L6" s="44">
        <v>500</v>
      </c>
      <c r="M6" s="44">
        <v>8607.44</v>
      </c>
      <c r="N6" s="44">
        <v>9107.44</v>
      </c>
      <c r="O6" s="40" t="s">
        <v>33</v>
      </c>
      <c r="P6" s="46">
        <f>-CUMIPMT(E6/12,F6,D6,J6,J6,0)</f>
        <v>500</v>
      </c>
      <c r="Q6" s="46">
        <f>-CUMPRINC(E6/12,F6,D6,J6,J6,0)</f>
        <v>8106.6429707080642</v>
      </c>
      <c r="R6" s="46" t="str">
        <f t="shared" si="0"/>
        <v>No cuadra el principal</v>
      </c>
    </row>
    <row r="7" spans="1:18" ht="17" x14ac:dyDescent="0.2">
      <c r="A7" s="35" t="s">
        <v>30</v>
      </c>
      <c r="B7" s="35" t="s">
        <v>34</v>
      </c>
      <c r="C7" s="35" t="s">
        <v>32</v>
      </c>
      <c r="D7" s="36">
        <v>100000</v>
      </c>
      <c r="E7" s="37">
        <v>0.06</v>
      </c>
      <c r="F7" s="35">
        <v>12</v>
      </c>
      <c r="G7" s="35" t="s">
        <v>19</v>
      </c>
      <c r="H7" s="35">
        <v>15</v>
      </c>
      <c r="I7" s="35">
        <v>0</v>
      </c>
      <c r="J7" s="38">
        <v>6</v>
      </c>
      <c r="K7" s="38" t="s">
        <v>35</v>
      </c>
      <c r="L7" s="39">
        <v>234.85</v>
      </c>
      <c r="M7" s="39">
        <v>8872.59</v>
      </c>
      <c r="N7" s="39">
        <v>9107.44</v>
      </c>
      <c r="O7" s="35" t="s">
        <v>36</v>
      </c>
      <c r="P7" s="46">
        <f>-CUMIPMT(E7/12,F7,D7,J7,J7,0)</f>
        <v>295.29710632731621</v>
      </c>
      <c r="Q7" s="46">
        <f>-CUMPRINC(E7/12,F7,D7,J7,J7,0)</f>
        <v>8311.345864380748</v>
      </c>
      <c r="R7" s="46" t="str">
        <f t="shared" si="0"/>
        <v>No cuadra la cuota</v>
      </c>
    </row>
    <row r="8" spans="1:18" ht="17" x14ac:dyDescent="0.2">
      <c r="A8" s="40" t="s">
        <v>30</v>
      </c>
      <c r="B8" s="40" t="s">
        <v>37</v>
      </c>
      <c r="C8" s="40" t="s">
        <v>32</v>
      </c>
      <c r="D8" s="41">
        <v>100000</v>
      </c>
      <c r="E8" s="42">
        <v>0.06</v>
      </c>
      <c r="F8" s="40">
        <v>12</v>
      </c>
      <c r="G8" s="40" t="s">
        <v>19</v>
      </c>
      <c r="H8" s="40">
        <v>15</v>
      </c>
      <c r="I8" s="40">
        <v>0</v>
      </c>
      <c r="J8" s="43">
        <v>12</v>
      </c>
      <c r="K8" s="43" t="s">
        <v>23</v>
      </c>
      <c r="L8" s="44">
        <v>45.25</v>
      </c>
      <c r="M8" s="44">
        <v>9062.19</v>
      </c>
      <c r="N8" s="44">
        <v>9107.44</v>
      </c>
      <c r="O8" s="40" t="s">
        <v>38</v>
      </c>
      <c r="P8" s="46">
        <f>-CUMIPMT(E8/12,F8,D8,J8,J8,0)</f>
        <v>42.819119257253988</v>
      </c>
      <c r="Q8" s="46">
        <f>-CUMPRINC(E8/12,F8,D8,J8,J8,0)</f>
        <v>8563.8238514508103</v>
      </c>
      <c r="R8" s="46" t="str">
        <f t="shared" si="0"/>
        <v>No cuadra la cuota</v>
      </c>
    </row>
    <row r="9" spans="1:18" ht="17" x14ac:dyDescent="0.2">
      <c r="A9" s="35" t="s">
        <v>39</v>
      </c>
      <c r="B9" s="35" t="s">
        <v>40</v>
      </c>
      <c r="C9" s="35" t="s">
        <v>32</v>
      </c>
      <c r="D9" s="36">
        <v>60000</v>
      </c>
      <c r="E9" s="37">
        <v>0.08</v>
      </c>
      <c r="F9" s="35">
        <v>24</v>
      </c>
      <c r="G9" s="35" t="s">
        <v>41</v>
      </c>
      <c r="H9" s="35">
        <v>1</v>
      </c>
      <c r="I9" s="35">
        <v>0</v>
      </c>
      <c r="J9" s="38">
        <v>1</v>
      </c>
      <c r="K9" s="38" t="s">
        <v>42</v>
      </c>
      <c r="L9" s="39">
        <v>400</v>
      </c>
      <c r="M9" s="39">
        <v>2315.63</v>
      </c>
      <c r="N9" s="39">
        <v>2715.63</v>
      </c>
      <c r="O9" s="35" t="s">
        <v>43</v>
      </c>
      <c r="P9" s="46">
        <f>-CUMIPMT(E9/12,F9,D9,J9,J9,0)</f>
        <v>400.00000000000045</v>
      </c>
      <c r="Q9" s="46">
        <f>-CUMPRINC(E9/12,F9,D9,J9,J9,0)</f>
        <v>2313.6374873710488</v>
      </c>
      <c r="R9" s="46" t="str">
        <f t="shared" si="0"/>
        <v>No cuadra el principal</v>
      </c>
    </row>
    <row r="10" spans="1:18" ht="17" x14ac:dyDescent="0.2">
      <c r="A10" s="40" t="s">
        <v>44</v>
      </c>
      <c r="B10" s="40" t="s">
        <v>45</v>
      </c>
      <c r="C10" s="40" t="s">
        <v>46</v>
      </c>
      <c r="D10" s="41">
        <v>80000</v>
      </c>
      <c r="E10" s="42">
        <v>7.0000000000000007E-2</v>
      </c>
      <c r="F10" s="40">
        <v>18</v>
      </c>
      <c r="G10" s="40" t="s">
        <v>47</v>
      </c>
      <c r="H10" s="40">
        <v>1</v>
      </c>
      <c r="I10" s="40">
        <v>6</v>
      </c>
      <c r="J10" s="43">
        <v>1</v>
      </c>
      <c r="K10" s="43" t="s">
        <v>48</v>
      </c>
      <c r="L10" s="44">
        <v>466.67</v>
      </c>
      <c r="M10" s="44">
        <v>0</v>
      </c>
      <c r="N10" s="44">
        <v>466.67</v>
      </c>
      <c r="O10" s="40" t="s">
        <v>49</v>
      </c>
      <c r="P10" s="46">
        <f>D10*E10/12</f>
        <v>466.66666666666674</v>
      </c>
      <c r="Q10" s="46">
        <v>0</v>
      </c>
      <c r="R10" s="46" t="str">
        <f t="shared" si="0"/>
        <v>No cuadra la cuota</v>
      </c>
    </row>
    <row r="11" spans="1:18" ht="17" x14ac:dyDescent="0.2">
      <c r="A11" s="35" t="s">
        <v>44</v>
      </c>
      <c r="B11" s="35" t="s">
        <v>50</v>
      </c>
      <c r="C11" s="35" t="s">
        <v>46</v>
      </c>
      <c r="D11" s="36">
        <v>80000</v>
      </c>
      <c r="E11" s="37">
        <v>7.0000000000000007E-2</v>
      </c>
      <c r="F11" s="35">
        <v>18</v>
      </c>
      <c r="G11" s="35" t="s">
        <v>47</v>
      </c>
      <c r="H11" s="35">
        <v>1</v>
      </c>
      <c r="I11" s="35">
        <v>6</v>
      </c>
      <c r="J11" s="38">
        <v>7</v>
      </c>
      <c r="K11" s="38" t="s">
        <v>28</v>
      </c>
      <c r="L11" s="39">
        <v>466.67</v>
      </c>
      <c r="M11" s="39">
        <v>6726.6</v>
      </c>
      <c r="N11" s="39">
        <v>7193.27</v>
      </c>
      <c r="O11" s="35" t="s">
        <v>51</v>
      </c>
      <c r="P11" s="46">
        <f>-CUMIPMT(E11/12,F11-6,D11,J11-6,J11-6,0)</f>
        <v>466.66666666666515</v>
      </c>
      <c r="Q11" s="46">
        <f>-CUMPRINC(E11/12,F11-6,D11,J11-6,J11-6,0)</f>
        <v>6455.4730211843789</v>
      </c>
      <c r="R11" s="46" t="str">
        <f t="shared" si="0"/>
        <v>No cuadra la cuota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tabSelected="1" workbookViewId="0">
      <pane ySplit="2" topLeftCell="A3" activePane="bottomLeft" state="frozen"/>
      <selection pane="bottomLeft" activeCell="L7" sqref="L7"/>
    </sheetView>
  </sheetViews>
  <sheetFormatPr baseColWidth="10" defaultColWidth="8.83203125" defaultRowHeight="15" x14ac:dyDescent="0.2"/>
  <cols>
    <col min="1" max="1" width="4.33203125" bestFit="1" customWidth="1"/>
    <col min="2" max="2" width="24" bestFit="1" customWidth="1"/>
    <col min="3" max="3" width="8.33203125" bestFit="1" customWidth="1"/>
    <col min="4" max="4" width="8.6640625" bestFit="1" customWidth="1"/>
    <col min="5" max="5" width="7.6640625" bestFit="1" customWidth="1"/>
    <col min="6" max="6" width="5.6640625" bestFit="1" customWidth="1"/>
    <col min="7" max="7" width="8.83203125" bestFit="1" customWidth="1"/>
    <col min="8" max="8" width="13.83203125" bestFit="1" customWidth="1"/>
    <col min="9" max="9" width="10.33203125" bestFit="1" customWidth="1"/>
    <col min="10" max="10" width="29.6640625" bestFit="1" customWidth="1"/>
    <col min="11" max="11" width="9.6640625" bestFit="1" customWidth="1"/>
    <col min="12" max="12" width="18.83203125" customWidth="1"/>
  </cols>
  <sheetData>
    <row r="1" spans="1:12" x14ac:dyDescent="0.2">
      <c r="A1" s="50" t="s">
        <v>52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2" ht="51" x14ac:dyDescent="0.2">
      <c r="A2" s="1" t="s">
        <v>1</v>
      </c>
      <c r="B2" s="1" t="s">
        <v>2</v>
      </c>
      <c r="C2" s="1" t="s">
        <v>53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54</v>
      </c>
      <c r="I2" s="1" t="s">
        <v>55</v>
      </c>
      <c r="J2" s="1" t="s">
        <v>15</v>
      </c>
      <c r="K2" s="1" t="s">
        <v>56</v>
      </c>
      <c r="L2" s="53" t="s">
        <v>224</v>
      </c>
    </row>
    <row r="3" spans="1:12" x14ac:dyDescent="0.2">
      <c r="A3" s="2" t="s">
        <v>57</v>
      </c>
      <c r="B3" s="2" t="s">
        <v>58</v>
      </c>
      <c r="C3" s="2" t="s">
        <v>18</v>
      </c>
      <c r="D3" s="5">
        <v>100000</v>
      </c>
      <c r="E3" s="4">
        <v>0.06</v>
      </c>
      <c r="F3" s="2">
        <v>12</v>
      </c>
      <c r="G3" s="2" t="s">
        <v>19</v>
      </c>
      <c r="H3" s="2" t="s">
        <v>59</v>
      </c>
      <c r="I3" s="5">
        <v>100000</v>
      </c>
      <c r="J3" s="2" t="s">
        <v>60</v>
      </c>
      <c r="K3" s="5">
        <v>0.01</v>
      </c>
      <c r="L3">
        <v>100000</v>
      </c>
    </row>
    <row r="4" spans="1:12" ht="30" x14ac:dyDescent="0.2">
      <c r="A4" s="6" t="s">
        <v>61</v>
      </c>
      <c r="B4" s="6" t="s">
        <v>62</v>
      </c>
      <c r="C4" s="6" t="s">
        <v>18</v>
      </c>
      <c r="D4" s="9">
        <v>100000</v>
      </c>
      <c r="E4" s="8">
        <v>0.06</v>
      </c>
      <c r="F4" s="6">
        <v>12</v>
      </c>
      <c r="G4" s="6" t="s">
        <v>19</v>
      </c>
      <c r="H4" s="6" t="s">
        <v>63</v>
      </c>
      <c r="I4" s="9">
        <v>80000</v>
      </c>
      <c r="J4" s="6" t="s">
        <v>64</v>
      </c>
      <c r="K4" s="9">
        <v>0.01</v>
      </c>
      <c r="L4">
        <v>80000</v>
      </c>
    </row>
    <row r="5" spans="1:12" x14ac:dyDescent="0.2">
      <c r="A5" s="2" t="s">
        <v>65</v>
      </c>
      <c r="B5" s="2" t="s">
        <v>66</v>
      </c>
      <c r="C5" s="2" t="s">
        <v>18</v>
      </c>
      <c r="D5" s="5">
        <v>100000</v>
      </c>
      <c r="E5" s="4">
        <v>0.06</v>
      </c>
      <c r="F5" s="2">
        <v>12</v>
      </c>
      <c r="G5" s="2" t="s">
        <v>19</v>
      </c>
      <c r="H5" s="2" t="s">
        <v>67</v>
      </c>
      <c r="I5" s="5">
        <v>70000</v>
      </c>
      <c r="J5" s="2" t="s">
        <v>68</v>
      </c>
      <c r="K5" s="5">
        <v>0.01</v>
      </c>
      <c r="L5">
        <v>70000</v>
      </c>
    </row>
    <row r="6" spans="1:12" x14ac:dyDescent="0.2">
      <c r="A6" s="6" t="s">
        <v>69</v>
      </c>
      <c r="B6" s="6" t="s">
        <v>70</v>
      </c>
      <c r="C6" s="6" t="s">
        <v>32</v>
      </c>
      <c r="D6" s="9">
        <v>100000</v>
      </c>
      <c r="E6" s="8">
        <v>0.06</v>
      </c>
      <c r="F6" s="6">
        <v>12</v>
      </c>
      <c r="G6" s="6" t="s">
        <v>19</v>
      </c>
      <c r="H6" s="6" t="s">
        <v>59</v>
      </c>
      <c r="I6" s="9">
        <v>100000</v>
      </c>
      <c r="J6" s="6" t="s">
        <v>71</v>
      </c>
      <c r="K6" s="9">
        <v>0.01</v>
      </c>
      <c r="L6">
        <v>100000</v>
      </c>
    </row>
    <row r="7" spans="1:12" ht="30" x14ac:dyDescent="0.2">
      <c r="A7" s="2" t="s">
        <v>72</v>
      </c>
      <c r="B7" s="2" t="s">
        <v>73</v>
      </c>
      <c r="C7" s="2" t="s">
        <v>32</v>
      </c>
      <c r="D7" s="5">
        <v>100000</v>
      </c>
      <c r="E7" s="4">
        <v>0.06</v>
      </c>
      <c r="F7" s="2">
        <v>12</v>
      </c>
      <c r="G7" s="2" t="s">
        <v>19</v>
      </c>
      <c r="H7" s="2" t="s">
        <v>74</v>
      </c>
      <c r="I7" s="5">
        <v>73775.53</v>
      </c>
      <c r="J7" s="2" t="s">
        <v>75</v>
      </c>
      <c r="K7" s="5">
        <v>0.1</v>
      </c>
    </row>
    <row r="8" spans="1:12" x14ac:dyDescent="0.2">
      <c r="A8" s="6" t="s">
        <v>76</v>
      </c>
      <c r="B8" s="6" t="s">
        <v>77</v>
      </c>
      <c r="C8" s="6" t="s">
        <v>32</v>
      </c>
      <c r="D8" s="9">
        <v>100000</v>
      </c>
      <c r="E8" s="8">
        <v>0.06</v>
      </c>
      <c r="F8" s="6">
        <v>12</v>
      </c>
      <c r="G8" s="6" t="s">
        <v>19</v>
      </c>
      <c r="H8" s="6" t="s">
        <v>78</v>
      </c>
      <c r="I8" s="9">
        <v>0</v>
      </c>
      <c r="J8" s="6" t="s">
        <v>79</v>
      </c>
      <c r="K8" s="9">
        <v>0.1</v>
      </c>
    </row>
    <row r="9" spans="1:12" ht="30" x14ac:dyDescent="0.2">
      <c r="A9" s="2" t="s">
        <v>80</v>
      </c>
      <c r="B9" s="2" t="s">
        <v>81</v>
      </c>
      <c r="C9" s="2" t="s">
        <v>32</v>
      </c>
      <c r="D9" s="5">
        <v>100000</v>
      </c>
      <c r="E9" s="4">
        <v>0.06</v>
      </c>
      <c r="F9" s="2">
        <v>12</v>
      </c>
      <c r="G9" s="2" t="s">
        <v>19</v>
      </c>
      <c r="H9" s="2" t="s">
        <v>82</v>
      </c>
      <c r="I9" s="5">
        <v>43860</v>
      </c>
      <c r="J9" s="2" t="s">
        <v>83</v>
      </c>
      <c r="K9" s="5">
        <v>1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4" customWidth="1"/>
    <col min="4" max="5" width="8" customWidth="1"/>
    <col min="6" max="6" width="12" customWidth="1"/>
    <col min="7" max="7" width="20" customWidth="1"/>
    <col min="8" max="8" width="18" customWidth="1"/>
    <col min="9" max="9" width="40" customWidth="1"/>
  </cols>
  <sheetData>
    <row r="1" spans="1:9" x14ac:dyDescent="0.2">
      <c r="A1" s="50" t="s">
        <v>84</v>
      </c>
      <c r="B1" s="51"/>
      <c r="C1" s="51"/>
      <c r="D1" s="51"/>
      <c r="E1" s="51"/>
      <c r="F1" s="51"/>
      <c r="G1" s="51"/>
      <c r="H1" s="51"/>
      <c r="I1" s="51"/>
    </row>
    <row r="2" spans="1:9" x14ac:dyDescent="0.2">
      <c r="A2" s="1" t="s">
        <v>1</v>
      </c>
      <c r="B2" s="1" t="s">
        <v>2</v>
      </c>
      <c r="C2" s="1" t="s">
        <v>53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85</v>
      </c>
      <c r="I2" s="1" t="s">
        <v>15</v>
      </c>
    </row>
    <row r="3" spans="1:9" x14ac:dyDescent="0.2">
      <c r="A3" s="2" t="s">
        <v>86</v>
      </c>
      <c r="B3" s="2" t="s">
        <v>87</v>
      </c>
      <c r="C3" s="2" t="s">
        <v>18</v>
      </c>
      <c r="D3" s="3">
        <v>50000</v>
      </c>
      <c r="E3" s="4">
        <v>0.06</v>
      </c>
      <c r="F3" s="2">
        <v>12</v>
      </c>
      <c r="G3" s="2" t="s">
        <v>47</v>
      </c>
      <c r="H3" s="10" t="s">
        <v>88</v>
      </c>
      <c r="I3" s="2" t="s">
        <v>89</v>
      </c>
    </row>
    <row r="4" spans="1:9" x14ac:dyDescent="0.2">
      <c r="A4" s="6" t="s">
        <v>90</v>
      </c>
      <c r="B4" s="6" t="s">
        <v>91</v>
      </c>
      <c r="C4" s="6" t="s">
        <v>18</v>
      </c>
      <c r="D4" s="7">
        <v>50000</v>
      </c>
      <c r="E4" s="8">
        <v>0.06</v>
      </c>
      <c r="F4" s="6">
        <v>12</v>
      </c>
      <c r="G4" s="6" t="s">
        <v>47</v>
      </c>
      <c r="H4" s="11" t="s">
        <v>92</v>
      </c>
      <c r="I4" s="6" t="s">
        <v>93</v>
      </c>
    </row>
    <row r="5" spans="1:9" x14ac:dyDescent="0.2">
      <c r="A5" s="2" t="s">
        <v>94</v>
      </c>
      <c r="B5" s="2" t="s">
        <v>95</v>
      </c>
      <c r="C5" s="2" t="s">
        <v>32</v>
      </c>
      <c r="D5" s="3">
        <v>80000</v>
      </c>
      <c r="E5" s="4">
        <v>7.0000000000000007E-2</v>
      </c>
      <c r="F5" s="2">
        <v>24</v>
      </c>
      <c r="G5" s="2" t="s">
        <v>41</v>
      </c>
      <c r="H5" s="10" t="s">
        <v>88</v>
      </c>
      <c r="I5" s="2" t="s">
        <v>96</v>
      </c>
    </row>
    <row r="6" spans="1:9" x14ac:dyDescent="0.2">
      <c r="A6" s="6" t="s">
        <v>97</v>
      </c>
      <c r="B6" s="6" t="s">
        <v>98</v>
      </c>
      <c r="C6" s="6" t="s">
        <v>32</v>
      </c>
      <c r="D6" s="7">
        <v>80000</v>
      </c>
      <c r="E6" s="8">
        <v>7.0000000000000007E-2</v>
      </c>
      <c r="F6" s="6">
        <v>24</v>
      </c>
      <c r="G6" s="6" t="s">
        <v>47</v>
      </c>
      <c r="H6" s="11" t="s">
        <v>92</v>
      </c>
      <c r="I6" s="6" t="s">
        <v>99</v>
      </c>
    </row>
    <row r="7" spans="1:9" x14ac:dyDescent="0.2">
      <c r="A7" s="2" t="s">
        <v>100</v>
      </c>
      <c r="B7" s="2" t="s">
        <v>101</v>
      </c>
      <c r="C7" s="2" t="s">
        <v>18</v>
      </c>
      <c r="D7" s="3">
        <v>50000</v>
      </c>
      <c r="E7" s="4">
        <v>0.06</v>
      </c>
      <c r="F7" s="2">
        <v>12</v>
      </c>
      <c r="G7" s="2" t="s">
        <v>47</v>
      </c>
      <c r="H7" s="12" t="s">
        <v>102</v>
      </c>
      <c r="I7" s="2" t="s">
        <v>103</v>
      </c>
    </row>
    <row r="8" spans="1:9" x14ac:dyDescent="0.2">
      <c r="A8" s="6" t="s">
        <v>104</v>
      </c>
      <c r="B8" s="6" t="s">
        <v>105</v>
      </c>
      <c r="C8" s="6" t="s">
        <v>18</v>
      </c>
      <c r="D8" s="7">
        <v>50000</v>
      </c>
      <c r="E8" s="8">
        <v>0.06</v>
      </c>
      <c r="F8" s="6">
        <v>12</v>
      </c>
      <c r="G8" s="6" t="s">
        <v>47</v>
      </c>
      <c r="H8" s="12" t="s">
        <v>102</v>
      </c>
      <c r="I8" s="6" t="s">
        <v>106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5" customWidth="1"/>
    <col min="3" max="3" width="25" customWidth="1"/>
    <col min="4" max="4" width="18" customWidth="1"/>
    <col min="5" max="5" width="50" customWidth="1"/>
  </cols>
  <sheetData>
    <row r="1" spans="1:5" x14ac:dyDescent="0.2">
      <c r="A1" s="50" t="s">
        <v>107</v>
      </c>
      <c r="B1" s="51"/>
      <c r="C1" s="51"/>
      <c r="D1" s="51"/>
      <c r="E1" s="51"/>
    </row>
    <row r="2" spans="1:5" ht="18" customHeight="1" x14ac:dyDescent="0.2">
      <c r="A2" s="52" t="s">
        <v>108</v>
      </c>
      <c r="B2" s="51"/>
      <c r="C2" s="51"/>
      <c r="D2" s="51"/>
      <c r="E2" s="51"/>
    </row>
    <row r="3" spans="1:5" x14ac:dyDescent="0.2">
      <c r="A3" s="13" t="s">
        <v>109</v>
      </c>
      <c r="B3" s="13" t="s">
        <v>110</v>
      </c>
      <c r="C3" s="13"/>
      <c r="D3" s="13"/>
      <c r="E3" s="13"/>
    </row>
    <row r="4" spans="1:5" ht="30" x14ac:dyDescent="0.2">
      <c r="A4" s="6" t="s">
        <v>111</v>
      </c>
      <c r="B4" s="6" t="s">
        <v>112</v>
      </c>
      <c r="C4" s="6"/>
      <c r="D4" s="6"/>
      <c r="E4" s="6"/>
    </row>
    <row r="5" spans="1:5" ht="45" x14ac:dyDescent="0.2">
      <c r="A5" s="2" t="s">
        <v>113</v>
      </c>
      <c r="B5" s="2" t="s">
        <v>114</v>
      </c>
      <c r="C5" s="2"/>
      <c r="D5" s="2"/>
      <c r="E5" s="2"/>
    </row>
    <row r="6" spans="1:5" ht="30" x14ac:dyDescent="0.2">
      <c r="A6" s="6" t="s">
        <v>115</v>
      </c>
      <c r="B6" s="6" t="s">
        <v>116</v>
      </c>
      <c r="C6" s="6"/>
      <c r="D6" s="6"/>
      <c r="E6" s="6"/>
    </row>
    <row r="7" spans="1:5" ht="30" x14ac:dyDescent="0.2">
      <c r="A7" s="2" t="s">
        <v>117</v>
      </c>
      <c r="B7" s="2" t="s">
        <v>118</v>
      </c>
      <c r="C7" s="2"/>
      <c r="D7" s="2"/>
      <c r="E7" s="2"/>
    </row>
    <row r="8" spans="1:5" ht="30" x14ac:dyDescent="0.2">
      <c r="A8" s="6" t="s">
        <v>119</v>
      </c>
      <c r="B8" s="6" t="s">
        <v>120</v>
      </c>
      <c r="C8" s="6"/>
      <c r="D8" s="6"/>
      <c r="E8" s="6"/>
    </row>
    <row r="9" spans="1:5" ht="30" x14ac:dyDescent="0.2">
      <c r="A9" s="2" t="s">
        <v>121</v>
      </c>
      <c r="B9" s="2" t="s">
        <v>122</v>
      </c>
      <c r="C9" s="2"/>
      <c r="D9" s="2"/>
      <c r="E9" s="2"/>
    </row>
    <row r="11" spans="1:5" ht="18" customHeight="1" x14ac:dyDescent="0.2">
      <c r="A11" s="52" t="s">
        <v>123</v>
      </c>
      <c r="B11" s="51"/>
      <c r="C11" s="51"/>
      <c r="D11" s="51"/>
      <c r="E11" s="51"/>
    </row>
    <row r="12" spans="1:5" x14ac:dyDescent="0.2">
      <c r="A12" s="1" t="s">
        <v>124</v>
      </c>
      <c r="B12" s="1" t="s">
        <v>125</v>
      </c>
      <c r="C12" s="1" t="s">
        <v>126</v>
      </c>
      <c r="D12" s="1" t="s">
        <v>127</v>
      </c>
      <c r="E12" s="1" t="s">
        <v>128</v>
      </c>
    </row>
    <row r="13" spans="1:5" x14ac:dyDescent="0.2">
      <c r="A13" s="14" t="s">
        <v>129</v>
      </c>
      <c r="B13" s="14" t="s">
        <v>130</v>
      </c>
      <c r="C13" s="15" t="s">
        <v>131</v>
      </c>
      <c r="D13" s="14">
        <f>100000+60000+80000</f>
        <v>240000</v>
      </c>
      <c r="E13" s="14" t="s">
        <v>132</v>
      </c>
    </row>
    <row r="14" spans="1:5" x14ac:dyDescent="0.2">
      <c r="A14" s="16" t="s">
        <v>133</v>
      </c>
      <c r="B14" s="16" t="s">
        <v>130</v>
      </c>
      <c r="C14" s="17" t="s">
        <v>134</v>
      </c>
      <c r="D14" s="16" t="s">
        <v>135</v>
      </c>
      <c r="E14" s="16" t="s">
        <v>136</v>
      </c>
    </row>
    <row r="15" spans="1:5" x14ac:dyDescent="0.2">
      <c r="A15" s="14" t="s">
        <v>137</v>
      </c>
      <c r="B15" s="14" t="s">
        <v>130</v>
      </c>
      <c r="C15" s="15" t="s">
        <v>138</v>
      </c>
      <c r="D15" s="14" t="s">
        <v>139</v>
      </c>
      <c r="E15" s="14" t="s">
        <v>140</v>
      </c>
    </row>
    <row r="16" spans="1:5" x14ac:dyDescent="0.2">
      <c r="A16" s="16" t="s">
        <v>141</v>
      </c>
      <c r="B16" s="16" t="s">
        <v>130</v>
      </c>
      <c r="C16" s="17" t="s">
        <v>142</v>
      </c>
      <c r="D16" s="16">
        <f>80000</f>
        <v>80000</v>
      </c>
      <c r="E16" s="16" t="s">
        <v>143</v>
      </c>
    </row>
    <row r="17" spans="1:5" x14ac:dyDescent="0.2">
      <c r="A17" s="14" t="s">
        <v>144</v>
      </c>
      <c r="B17" s="14" t="s">
        <v>130</v>
      </c>
      <c r="C17" s="15" t="s">
        <v>145</v>
      </c>
      <c r="D17" s="14" t="s">
        <v>146</v>
      </c>
      <c r="E17" s="14" t="s">
        <v>147</v>
      </c>
    </row>
    <row r="18" spans="1:5" x14ac:dyDescent="0.2">
      <c r="A18" s="16" t="s">
        <v>148</v>
      </c>
      <c r="B18" s="16" t="s">
        <v>130</v>
      </c>
      <c r="C18" s="17" t="s">
        <v>149</v>
      </c>
      <c r="D18" s="16">
        <f>40000+30000</f>
        <v>70000</v>
      </c>
      <c r="E18" s="16" t="s">
        <v>150</v>
      </c>
    </row>
    <row r="19" spans="1:5" x14ac:dyDescent="0.2">
      <c r="A19" s="18" t="s">
        <v>151</v>
      </c>
      <c r="B19" s="18" t="s">
        <v>152</v>
      </c>
      <c r="C19" s="19" t="s">
        <v>153</v>
      </c>
      <c r="D19" s="18">
        <f>3</f>
        <v>3</v>
      </c>
      <c r="E19" s="18" t="s">
        <v>154</v>
      </c>
    </row>
    <row r="20" spans="1:5" x14ac:dyDescent="0.2">
      <c r="A20" s="20" t="s">
        <v>155</v>
      </c>
      <c r="B20" s="20" t="s">
        <v>152</v>
      </c>
      <c r="C20" s="21" t="s">
        <v>156</v>
      </c>
      <c r="D20" s="20">
        <f>0</f>
        <v>0</v>
      </c>
      <c r="E20" s="20" t="s">
        <v>157</v>
      </c>
    </row>
    <row r="21" spans="1:5" x14ac:dyDescent="0.2">
      <c r="A21" s="18" t="s">
        <v>158</v>
      </c>
      <c r="B21" s="18" t="s">
        <v>152</v>
      </c>
      <c r="C21" s="19" t="s">
        <v>159</v>
      </c>
      <c r="D21" s="18">
        <f>3</f>
        <v>3</v>
      </c>
      <c r="E21" s="18" t="s">
        <v>154</v>
      </c>
    </row>
    <row r="22" spans="1:5" x14ac:dyDescent="0.2">
      <c r="A22" s="20" t="s">
        <v>160</v>
      </c>
      <c r="B22" s="20" t="s">
        <v>152</v>
      </c>
      <c r="C22" s="21" t="s">
        <v>161</v>
      </c>
      <c r="D22" s="20">
        <f>1</f>
        <v>1</v>
      </c>
      <c r="E22" s="20" t="s">
        <v>115</v>
      </c>
    </row>
    <row r="23" spans="1:5" x14ac:dyDescent="0.2">
      <c r="A23" s="18" t="s">
        <v>162</v>
      </c>
      <c r="B23" s="18" t="s">
        <v>152</v>
      </c>
      <c r="C23" s="19" t="s">
        <v>163</v>
      </c>
      <c r="D23" s="18">
        <f>2</f>
        <v>2</v>
      </c>
      <c r="E23" s="18" t="s">
        <v>164</v>
      </c>
    </row>
    <row r="24" spans="1:5" x14ac:dyDescent="0.2">
      <c r="A24" s="20" t="s">
        <v>165</v>
      </c>
      <c r="B24" s="20" t="s">
        <v>152</v>
      </c>
      <c r="C24" s="21" t="s">
        <v>166</v>
      </c>
      <c r="D24" s="20">
        <f>1</f>
        <v>1</v>
      </c>
      <c r="E24" s="20" t="s">
        <v>167</v>
      </c>
    </row>
    <row r="25" spans="1:5" x14ac:dyDescent="0.2">
      <c r="A25" s="22" t="s">
        <v>168</v>
      </c>
      <c r="B25" s="22" t="s">
        <v>169</v>
      </c>
      <c r="C25" s="23" t="s">
        <v>170</v>
      </c>
      <c r="D25" s="22">
        <f>200000+90000+120000</f>
        <v>410000</v>
      </c>
      <c r="E25" s="22" t="s">
        <v>171</v>
      </c>
    </row>
    <row r="26" spans="1:5" x14ac:dyDescent="0.2">
      <c r="A26" s="24" t="s">
        <v>172</v>
      </c>
      <c r="B26" s="24" t="s">
        <v>169</v>
      </c>
      <c r="C26" s="25" t="s">
        <v>173</v>
      </c>
      <c r="D26" s="24" t="s">
        <v>174</v>
      </c>
      <c r="E26" s="24" t="s">
        <v>175</v>
      </c>
    </row>
    <row r="27" spans="1:5" x14ac:dyDescent="0.2">
      <c r="A27" s="22" t="s">
        <v>176</v>
      </c>
      <c r="B27" s="22" t="s">
        <v>169</v>
      </c>
      <c r="C27" s="23" t="s">
        <v>177</v>
      </c>
      <c r="D27" s="22" t="s">
        <v>178</v>
      </c>
      <c r="E27" s="22" t="s">
        <v>179</v>
      </c>
    </row>
    <row r="28" spans="1:5" x14ac:dyDescent="0.2">
      <c r="A28" s="24" t="s">
        <v>180</v>
      </c>
      <c r="B28" s="24" t="s">
        <v>169</v>
      </c>
      <c r="C28" s="25" t="s">
        <v>181</v>
      </c>
      <c r="D28" s="24" t="s">
        <v>182</v>
      </c>
      <c r="E28" s="24" t="s">
        <v>183</v>
      </c>
    </row>
    <row r="29" spans="1:5" ht="30" x14ac:dyDescent="0.2">
      <c r="A29" s="26" t="s">
        <v>184</v>
      </c>
      <c r="B29" s="26" t="s">
        <v>185</v>
      </c>
      <c r="C29" s="27" t="s">
        <v>186</v>
      </c>
      <c r="D29" s="26" t="s">
        <v>187</v>
      </c>
      <c r="E29" s="26" t="s">
        <v>188</v>
      </c>
    </row>
    <row r="30" spans="1:5" x14ac:dyDescent="0.2">
      <c r="A30" s="28" t="s">
        <v>189</v>
      </c>
      <c r="B30" s="28" t="s">
        <v>185</v>
      </c>
      <c r="C30" s="29" t="s">
        <v>190</v>
      </c>
      <c r="D30" s="28" t="s">
        <v>191</v>
      </c>
      <c r="E30" s="28" t="s">
        <v>192</v>
      </c>
    </row>
    <row r="31" spans="1:5" x14ac:dyDescent="0.2">
      <c r="A31" s="26" t="s">
        <v>193</v>
      </c>
      <c r="B31" s="26" t="s">
        <v>185</v>
      </c>
      <c r="C31" s="27" t="s">
        <v>194</v>
      </c>
      <c r="D31" s="26" t="s">
        <v>187</v>
      </c>
      <c r="E31" s="26" t="s">
        <v>195</v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0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7" x14ac:dyDescent="0.2">
      <c r="A1" s="30" t="s">
        <v>196</v>
      </c>
    </row>
    <row r="2" spans="1:1" x14ac:dyDescent="0.2">
      <c r="A2" s="31"/>
    </row>
    <row r="3" spans="1:1" x14ac:dyDescent="0.2">
      <c r="A3" s="32" t="s">
        <v>197</v>
      </c>
    </row>
    <row r="4" spans="1:1" x14ac:dyDescent="0.2">
      <c r="A4" s="31" t="s">
        <v>198</v>
      </c>
    </row>
    <row r="5" spans="1:1" x14ac:dyDescent="0.2">
      <c r="A5" s="31" t="s">
        <v>199</v>
      </c>
    </row>
    <row r="6" spans="1:1" x14ac:dyDescent="0.2">
      <c r="A6" s="31" t="s">
        <v>200</v>
      </c>
    </row>
    <row r="7" spans="1:1" x14ac:dyDescent="0.2">
      <c r="A7" s="31" t="s">
        <v>201</v>
      </c>
    </row>
    <row r="8" spans="1:1" x14ac:dyDescent="0.2">
      <c r="A8" s="31"/>
    </row>
    <row r="9" spans="1:1" x14ac:dyDescent="0.2">
      <c r="A9" s="32" t="s">
        <v>202</v>
      </c>
    </row>
    <row r="10" spans="1:1" x14ac:dyDescent="0.2">
      <c r="A10" s="31" t="s">
        <v>203</v>
      </c>
    </row>
    <row r="11" spans="1:1" x14ac:dyDescent="0.2">
      <c r="A11" s="31" t="s">
        <v>204</v>
      </c>
    </row>
    <row r="12" spans="1:1" x14ac:dyDescent="0.2">
      <c r="A12" s="31" t="s">
        <v>205</v>
      </c>
    </row>
    <row r="13" spans="1:1" x14ac:dyDescent="0.2">
      <c r="A13" s="31" t="s">
        <v>206</v>
      </c>
    </row>
    <row r="14" spans="1:1" x14ac:dyDescent="0.2">
      <c r="A14" s="31" t="s">
        <v>207</v>
      </c>
    </row>
    <row r="15" spans="1:1" x14ac:dyDescent="0.2">
      <c r="A15" s="31"/>
    </row>
    <row r="16" spans="1:1" x14ac:dyDescent="0.2">
      <c r="A16" s="32" t="s">
        <v>208</v>
      </c>
    </row>
    <row r="17" spans="1:1" x14ac:dyDescent="0.2">
      <c r="A17" s="31" t="s">
        <v>209</v>
      </c>
    </row>
    <row r="18" spans="1:1" x14ac:dyDescent="0.2">
      <c r="A18" s="31" t="s">
        <v>210</v>
      </c>
    </row>
    <row r="19" spans="1:1" x14ac:dyDescent="0.2">
      <c r="A19" s="31" t="s">
        <v>211</v>
      </c>
    </row>
    <row r="20" spans="1:1" x14ac:dyDescent="0.2">
      <c r="A20" s="31"/>
    </row>
    <row r="21" spans="1:1" x14ac:dyDescent="0.2">
      <c r="A21" s="32" t="s">
        <v>212</v>
      </c>
    </row>
    <row r="22" spans="1:1" x14ac:dyDescent="0.2">
      <c r="A22" s="31" t="s">
        <v>213</v>
      </c>
    </row>
    <row r="23" spans="1:1" x14ac:dyDescent="0.2">
      <c r="A23" s="31" t="s">
        <v>214</v>
      </c>
    </row>
    <row r="24" spans="1:1" x14ac:dyDescent="0.2">
      <c r="A24" s="31" t="s">
        <v>215</v>
      </c>
    </row>
    <row r="25" spans="1:1" x14ac:dyDescent="0.2">
      <c r="A25" s="31" t="s">
        <v>216</v>
      </c>
    </row>
    <row r="26" spans="1:1" x14ac:dyDescent="0.2">
      <c r="A26" s="31" t="s">
        <v>217</v>
      </c>
    </row>
    <row r="27" spans="1:1" x14ac:dyDescent="0.2">
      <c r="A27" s="31"/>
    </row>
    <row r="28" spans="1:1" x14ac:dyDescent="0.2">
      <c r="A28" s="32" t="s">
        <v>218</v>
      </c>
    </row>
    <row r="29" spans="1:1" x14ac:dyDescent="0.2">
      <c r="A29" s="31" t="s">
        <v>219</v>
      </c>
    </row>
    <row r="30" spans="1:1" x14ac:dyDescent="0.2">
      <c r="A30" s="3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1_Calendario</vt:lpstr>
      <vt:lpstr>2_Capital_Activo</vt:lpstr>
      <vt:lpstr>3_Situacion</vt:lpstr>
      <vt:lpstr>4_KPIs_Dashboard</vt:lpstr>
      <vt:lpstr>5_Instrucciones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Narcís Magriñà</cp:lastModifiedBy>
  <dcterms:created xsi:type="dcterms:W3CDTF">2026-03-15T15:41:43Z</dcterms:created>
  <dcterms:modified xsi:type="dcterms:W3CDTF">2026-03-15T16:30:53Z</dcterms:modified>
</cp:coreProperties>
</file>