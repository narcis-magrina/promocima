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tests/"/>
    </mc:Choice>
  </mc:AlternateContent>
  <xr:revisionPtr revIDLastSave="0" documentId="13_ncr:1_{F06323FD-480F-7C44-B6FF-9035A6517AC1}" xr6:coauthVersionLast="47" xr6:coauthVersionMax="47" xr10:uidLastSave="{00000000-0000-0000-0000-000000000000}"/>
  <bookViews>
    <workbookView xWindow="220" yWindow="880" windowWidth="40380" windowHeight="25620" tabRatio="500" activeTab="7" xr2:uid="{00000000-000D-0000-FFFF-FFFF00000000}"/>
  </bookViews>
  <sheets>
    <sheet name="1_Calculo_cuota" sheetId="1" r:id="rId1"/>
    <sheet name="2_Capital_Activo" sheetId="2" r:id="rId2"/>
    <sheet name="3_Situacion" sheetId="3" r:id="rId3"/>
    <sheet name="4_KPIs_Dashboard" sheetId="4" r:id="rId4"/>
    <sheet name="5_Instrucciones" sheetId="5" r:id="rId5"/>
    <sheet name="5_fmt" sheetId="6" r:id="rId6"/>
    <sheet name="6_Calculos_Aux" sheetId="7" r:id="rId7"/>
    <sheet name="7_CalendarioCCP" sheetId="8" r:id="rId8"/>
    <sheet name="8_LineasCC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6" i="9" l="1"/>
  <c r="F36" i="9"/>
  <c r="G31" i="9"/>
  <c r="H35" i="9"/>
  <c r="H34" i="9"/>
  <c r="G33" i="9"/>
  <c r="H32" i="9"/>
  <c r="H30" i="9"/>
  <c r="G29" i="9"/>
  <c r="G28" i="9"/>
  <c r="F27" i="9"/>
  <c r="F26" i="9"/>
  <c r="C12" i="9"/>
  <c r="C10" i="9"/>
  <c r="C11" i="9" s="1"/>
  <c r="C13" i="9" s="1"/>
  <c r="C14" i="9" l="1"/>
  <c r="C15" i="9" s="1"/>
  <c r="D74" i="4"/>
  <c r="H16" i="4"/>
  <c r="H17" i="4"/>
  <c r="H18" i="4"/>
  <c r="P27" i="4"/>
  <c r="C27" i="4"/>
  <c r="O27" i="4"/>
  <c r="Q27" i="4"/>
  <c r="R27" i="4"/>
  <c r="S27" i="4"/>
  <c r="F27" i="4" s="1"/>
  <c r="D76" i="4"/>
  <c r="C26" i="4"/>
  <c r="R11" i="1"/>
  <c r="R12" i="1"/>
  <c r="Q11" i="1"/>
  <c r="Q12" i="1"/>
  <c r="K8" i="2"/>
  <c r="K9" i="2"/>
  <c r="K26" i="4"/>
  <c r="K25" i="4"/>
  <c r="K24" i="4"/>
  <c r="K22" i="4"/>
  <c r="I8" i="4"/>
  <c r="I9" i="4"/>
  <c r="I10" i="4"/>
  <c r="I11" i="4"/>
  <c r="J27" i="4" l="1"/>
  <c r="I27" i="4"/>
  <c r="G27" i="4"/>
  <c r="P8" i="4"/>
  <c r="Q5" i="4" l="1"/>
  <c r="Q8" i="4"/>
  <c r="R16" i="4" s="1"/>
  <c r="Q9" i="4"/>
  <c r="R17" i="4" s="1"/>
  <c r="Q10" i="4"/>
  <c r="Q11" i="4"/>
  <c r="C44" i="4"/>
  <c r="D70" i="4" s="1"/>
  <c r="D69" i="4"/>
  <c r="D68" i="4"/>
  <c r="D67" i="4"/>
  <c r="D66" i="4"/>
  <c r="D5" i="4"/>
  <c r="E5" i="4"/>
  <c r="F5" i="4"/>
  <c r="G5" i="4"/>
  <c r="H5" i="4"/>
  <c r="I5" i="4"/>
  <c r="J5" i="4"/>
  <c r="Q16" i="4" s="1"/>
  <c r="I16" i="4" s="1"/>
  <c r="K5" i="4"/>
  <c r="L5" i="4"/>
  <c r="M17" i="4" s="1"/>
  <c r="M5" i="4"/>
  <c r="N18" i="4" s="1"/>
  <c r="N5" i="4"/>
  <c r="O5" i="4"/>
  <c r="P5" i="4"/>
  <c r="A5" i="4"/>
  <c r="B5" i="4"/>
  <c r="C5" i="4"/>
  <c r="O8" i="4"/>
  <c r="O9" i="4"/>
  <c r="O10" i="4"/>
  <c r="O11" i="4"/>
  <c r="N8" i="4"/>
  <c r="S23" i="4" l="1"/>
  <c r="S26" i="4"/>
  <c r="F26" i="4" s="1"/>
  <c r="S25" i="4"/>
  <c r="S24" i="4"/>
  <c r="F24" i="4" s="1"/>
  <c r="S22" i="4"/>
  <c r="Q25" i="4"/>
  <c r="Q26" i="4"/>
  <c r="Q22" i="4"/>
  <c r="Q23" i="4"/>
  <c r="Q24" i="4"/>
  <c r="L16" i="4"/>
  <c r="E16" i="4" s="1"/>
  <c r="P22" i="4"/>
  <c r="R22" i="4"/>
  <c r="R24" i="4"/>
  <c r="R23" i="4"/>
  <c r="R26" i="4"/>
  <c r="R25" i="4"/>
  <c r="K17" i="4"/>
  <c r="O25" i="4"/>
  <c r="O23" i="4"/>
  <c r="O26" i="4"/>
  <c r="O22" i="4"/>
  <c r="O24" i="4"/>
  <c r="P11" i="4"/>
  <c r="P9" i="4"/>
  <c r="P17" i="4" s="1"/>
  <c r="G17" i="4" s="1"/>
  <c r="R18" i="4"/>
  <c r="Q18" i="4"/>
  <c r="I18" i="4" s="1"/>
  <c r="Q17" i="4"/>
  <c r="I17" i="4" s="1"/>
  <c r="P16" i="4"/>
  <c r="G16" i="4" s="1"/>
  <c r="K16" i="4"/>
  <c r="O16" i="4"/>
  <c r="J16" i="4" s="1"/>
  <c r="L18" i="4"/>
  <c r="E18" i="4" s="1"/>
  <c r="M18" i="4"/>
  <c r="K18" i="4"/>
  <c r="L17" i="4"/>
  <c r="E17" i="4" s="1"/>
  <c r="M16" i="4"/>
  <c r="N17" i="4"/>
  <c r="N16" i="4"/>
  <c r="C24" i="4"/>
  <c r="C25" i="4"/>
  <c r="C22" i="4"/>
  <c r="C23" i="4" s="1"/>
  <c r="C32" i="4"/>
  <c r="F25" i="4"/>
  <c r="F23" i="4"/>
  <c r="G22" i="4"/>
  <c r="P23" i="4"/>
  <c r="K23" i="4" s="1"/>
  <c r="J23" i="4"/>
  <c r="J25" i="4"/>
  <c r="P24" i="4"/>
  <c r="P25" i="4"/>
  <c r="P26" i="4"/>
  <c r="K9" i="4"/>
  <c r="K10" i="4"/>
  <c r="K11" i="4"/>
  <c r="K8" i="4"/>
  <c r="I26" i="4" l="1"/>
  <c r="I23" i="4"/>
  <c r="I25" i="4"/>
  <c r="I24" i="4"/>
  <c r="I22" i="4"/>
  <c r="C45" i="4"/>
  <c r="D72" i="4" s="1"/>
  <c r="C43" i="4"/>
  <c r="D60" i="4" s="1"/>
  <c r="C42" i="4"/>
  <c r="D59" i="4" s="1"/>
  <c r="J26" i="4"/>
  <c r="M26" i="4" s="1"/>
  <c r="K27" i="4" s="1"/>
  <c r="M27" i="4" s="1"/>
  <c r="F22" i="4"/>
  <c r="G25" i="4"/>
  <c r="M23" i="4"/>
  <c r="G26" i="4"/>
  <c r="G24" i="4"/>
  <c r="J24" i="4"/>
  <c r="M24" i="4" s="1"/>
  <c r="N9" i="4" s="1"/>
  <c r="O17" i="4" s="1"/>
  <c r="J17" i="4" s="1"/>
  <c r="C39" i="4" s="1"/>
  <c r="J22" i="4"/>
  <c r="M22" i="4" s="1"/>
  <c r="M25" i="4"/>
  <c r="D75" i="4" l="1"/>
  <c r="D55" i="4"/>
  <c r="C36" i="4"/>
  <c r="N11" i="4" l="1"/>
  <c r="O18" i="4"/>
  <c r="J18" i="4" s="1"/>
  <c r="C40" i="4" s="1"/>
  <c r="D56" i="4" s="1"/>
  <c r="D73" i="4" s="1"/>
  <c r="P10" i="4"/>
  <c r="P18" i="4" s="1"/>
  <c r="G18" i="4" s="1"/>
  <c r="D63" i="4"/>
  <c r="K7" i="2"/>
  <c r="K6" i="2"/>
  <c r="K5" i="2"/>
  <c r="K4" i="2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S7" i="1" l="1"/>
  <c r="S9" i="1"/>
  <c r="S4" i="1"/>
  <c r="S5" i="1"/>
  <c r="S6" i="1"/>
  <c r="S8" i="1"/>
  <c r="S10" i="1"/>
  <c r="S12" i="1"/>
  <c r="D61" i="4"/>
  <c r="C37" i="4"/>
  <c r="C35" i="4"/>
  <c r="D52" i="4" s="1"/>
  <c r="D65" i="4"/>
  <c r="C33" i="4"/>
  <c r="D50" i="4" s="1"/>
  <c r="D57" i="4"/>
  <c r="S11" i="1"/>
  <c r="C41" i="4" l="1"/>
  <c r="D58" i="4" s="1"/>
  <c r="C38" i="4"/>
  <c r="D53" i="4" s="1"/>
  <c r="D54" i="4" s="1"/>
  <c r="C34" i="4"/>
  <c r="D51" i="4" s="1"/>
  <c r="D71" i="4" s="1"/>
  <c r="D62" i="4" l="1"/>
  <c r="D6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Narcís Magriñá Balcells</author>
  </authors>
  <commentList>
    <comment ref="H17" authorId="0" shapeId="0" xr:uid="{FA3AE73D-51CC-BD46-B5CF-3A6210927CB9}">
      <text>
        <r>
          <rPr>
            <b/>
            <sz val="10"/>
            <color rgb="FF000000"/>
            <rFont val="Tahoma"/>
            <family val="2"/>
          </rPr>
          <t>Narcís Magriñá Balcells: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OJO, esto es incorrecto ya que cada mes se cobrará menos gestión ya que quedará menos principal.</t>
        </r>
      </text>
    </comment>
  </commentList>
</comments>
</file>

<file path=xl/sharedStrings.xml><?xml version="1.0" encoding="utf-8"?>
<sst xmlns="http://schemas.openxmlformats.org/spreadsheetml/2006/main" count="716" uniqueCount="495">
  <si>
    <t>HOJA 1 — Calendario Teórico. Interés y principal calculados con fórmulas Excel. Coincidencia compara L vs P y M vs Q.</t>
  </si>
  <si>
    <t>INSTRUCCIONES: Columnas P y Q contienen la fórmula de referencia. Columna R indica si los valores originales cuadran. Para añadir casos copia una fila y ajusta las columnas A-J y N.</t>
  </si>
  <si>
    <t>Caso</t>
  </si>
  <si>
    <t>Descripción</t>
  </si>
  <si>
    <t>Tipo préstamo</t>
  </si>
  <si>
    <t>Importe</t>
  </si>
  <si>
    <t>Interés %</t>
  </si>
  <si>
    <t>Meses</t>
  </si>
  <si>
    <t>Fecha inicio</t>
  </si>
  <si>
    <t>Día cobro</t>
  </si>
  <si>
    <t>Meses carencia</t>
  </si>
  <si>
    <t>Cuota N°</t>
  </si>
  <si>
    <t>Fecha esperada</t>
  </si>
  <si>
    <t>Interés esperado</t>
  </si>
  <si>
    <t>Principal esperado</t>
  </si>
  <si>
    <t>Total esperado</t>
  </si>
  <si>
    <t>Notas</t>
  </si>
  <si>
    <t>A1</t>
  </si>
  <si>
    <t>Americano 12m - cuota 1</t>
  </si>
  <si>
    <t>Americano</t>
  </si>
  <si>
    <t>2024-01-15</t>
  </si>
  <si>
    <t>Interés = importe × tasa / 12</t>
  </si>
  <si>
    <t>Americano 12m - cuota 12</t>
  </si>
  <si>
    <t>Última cuota devuelve principal</t>
  </si>
  <si>
    <t>A2</t>
  </si>
  <si>
    <t>Americano 24m - cuota 6</t>
  </si>
  <si>
    <t>2024-03-01</t>
  </si>
  <si>
    <t>F1</t>
  </si>
  <si>
    <t>Francés 12m - cuota 1</t>
  </si>
  <si>
    <t>Francés</t>
  </si>
  <si>
    <t>PMT estándar</t>
  </si>
  <si>
    <t>Francés 12m - cuota 6</t>
  </si>
  <si>
    <t>Interés sobre saldo reducido</t>
  </si>
  <si>
    <t>Francés 12m - cuota 12</t>
  </si>
  <si>
    <t>Última cuota francesa</t>
  </si>
  <si>
    <t>F2</t>
  </si>
  <si>
    <t>Francés 24m - cuota 1</t>
  </si>
  <si>
    <t>2024-06-01</t>
  </si>
  <si>
    <t>FC1</t>
  </si>
  <si>
    <t>Francés carencia 6m - cuota 1</t>
  </si>
  <si>
    <t>Francés con carencia</t>
  </si>
  <si>
    <t>2024-01-01</t>
  </si>
  <si>
    <t>Carencia: solo intereses</t>
  </si>
  <si>
    <t>Francés carencia 6m - cuota 7</t>
  </si>
  <si>
    <t>Post-carencia: primera cuota amortizante</t>
  </si>
  <si>
    <t>HOJA 2 — Capital Activo. Para Americano: importe – amortizaciones parciales. Para Francés: importe – principal de cuotas cobradas – APs.</t>
  </si>
  <si>
    <t>INSTRUCCIONES: Capital activo esperado (col I) se expresa como fórmula cuando es calculable directamente, o como valor con explicación en col J.</t>
  </si>
  <si>
    <t>Tipo</t>
  </si>
  <si>
    <t>Cobros (descripción)</t>
  </si>
  <si>
    <t>Capital activo esperado</t>
  </si>
  <si>
    <t>Fórmula / Cálculo</t>
  </si>
  <si>
    <t>Tolerancia €</t>
  </si>
  <si>
    <t>CA1</t>
  </si>
  <si>
    <t>Americano sin cobros</t>
  </si>
  <si>
    <t>Sin cobros</t>
  </si>
  <si>
    <t>Importe íntegro sin amortizar</t>
  </si>
  <si>
    <t>CA2</t>
  </si>
  <si>
    <t>Americano AP 20.000€</t>
  </si>
  <si>
    <t>AP 20.000€</t>
  </si>
  <si>
    <t>Importe – AP</t>
  </si>
  <si>
    <t>CA3</t>
  </si>
  <si>
    <t>Americano AP 20.000 + AP 10.000</t>
  </si>
  <si>
    <t>AP 20k+10k</t>
  </si>
  <si>
    <t>Importe – ambas APs</t>
  </si>
  <si>
    <t>CF1</t>
  </si>
  <si>
    <t>Francés sin cobros</t>
  </si>
  <si>
    <t>Importe íntegro</t>
  </si>
  <si>
    <t>CF2</t>
  </si>
  <si>
    <t>Francés 3 cuotas cobradas</t>
  </si>
  <si>
    <t>Cuotas 1-3</t>
  </si>
  <si>
    <t>Importe + principal negativo cuotas 1-3</t>
  </si>
  <si>
    <t>CUMPRINC devuelve negativo → se suma</t>
  </si>
  <si>
    <t>CF3</t>
  </si>
  <si>
    <t>Francés 12 cuotas cobradas</t>
  </si>
  <si>
    <t>12 cuotas</t>
  </si>
  <si>
    <t>Completamente amortizado → ≈0</t>
  </si>
  <si>
    <t>HOJA 3 — Situación préstamo. 'al_dia' = no hay cuotas vencidas sin cobrar. 'con_retraso' = hay cuotas vencidas sin cobrar. null = cancelado o judicializado.</t>
  </si>
  <si>
    <t>INSTRUCCIONES: La situación depende de la fecha actual del sistema. Los casos S3-S6 usan fechas pasadas/futuras conocidas para resultados deterministas.</t>
  </si>
  <si>
    <t>Estado préstamo</t>
  </si>
  <si>
    <t>Cobros</t>
  </si>
  <si>
    <t>Situación esperada</t>
  </si>
  <si>
    <t>S1</t>
  </si>
  <si>
    <t>Cancelado → siempre null</t>
  </si>
  <si>
    <t>cancelado</t>
  </si>
  <si>
    <t>null</t>
  </si>
  <si>
    <t>estado='cancelado' → calcSituacion devuelve null</t>
  </si>
  <si>
    <t>S2</t>
  </si>
  <si>
    <t>Judicializado → siempre null</t>
  </si>
  <si>
    <t>judicializado</t>
  </si>
  <si>
    <t>estado='judicializado' → calcSituacion devuelve null</t>
  </si>
  <si>
    <t>S3</t>
  </si>
  <si>
    <t>Inicio futuro → al_dia</t>
  </si>
  <si>
    <t>HOY+2 meses</t>
  </si>
  <si>
    <t>activo</t>
  </si>
  <si>
    <t>al_dia</t>
  </si>
  <si>
    <t>Sin cuotas vencidas aún → al_dia</t>
  </si>
  <si>
    <t>S4</t>
  </si>
  <si>
    <t>Todas las cuotas cobradas → al_dia</t>
  </si>
  <si>
    <t>12 cuotas cobradas</t>
  </si>
  <si>
    <t>Ninguna pendiente → al_dia</t>
  </si>
  <si>
    <t>S5</t>
  </si>
  <si>
    <t>Inicio antiguo sin cobros → con_retraso</t>
  </si>
  <si>
    <t>2022-01-01</t>
  </si>
  <si>
    <t>con_retraso</t>
  </si>
  <si>
    <t>Múltiples cuotas vencidas no cobradas</t>
  </si>
  <si>
    <t>S6</t>
  </si>
  <si>
    <t>Solo cuota 1 sin cobrar → con_retraso</t>
  </si>
  <si>
    <t>Cuotas 2-12 cobradas</t>
  </si>
  <si>
    <t>Cuota 1 vencida y no cobrada</t>
  </si>
  <si>
    <t>Ref</t>
  </si>
  <si>
    <t>P1 Importe (Americano 6% 12m)</t>
  </si>
  <si>
    <t>P2 Importe (Francés 8% 24m, 3 cuotas cobradas)</t>
  </si>
  <si>
    <t>P3 Importe (Americano 9% 18m, judicializado)</t>
  </si>
  <si>
    <t>CCP1_imp</t>
  </si>
  <si>
    <t>CCP1 Participación (P1, 40%)</t>
  </si>
  <si>
    <t>CCP2_imp</t>
  </si>
  <si>
    <t>CCP2 Participación (P2, 50%)</t>
  </si>
  <si>
    <t>CCP3_imp</t>
  </si>
  <si>
    <t>CCP3 Participación (P3, 25%)</t>
  </si>
  <si>
    <t>ID</t>
  </si>
  <si>
    <t>KPI</t>
  </si>
  <si>
    <t>Sub-KPI</t>
  </si>
  <si>
    <t>Valor esperado</t>
  </si>
  <si>
    <t>K1.1</t>
  </si>
  <si>
    <t>Capital</t>
  </si>
  <si>
    <t>K1.2</t>
  </si>
  <si>
    <t>K1.3</t>
  </si>
  <si>
    <t>K1.4</t>
  </si>
  <si>
    <t>K1.5</t>
  </si>
  <si>
    <t>% judicializado</t>
  </si>
  <si>
    <t>K1.6</t>
  </si>
  <si>
    <t>K3.1</t>
  </si>
  <si>
    <t>Operaciones</t>
  </si>
  <si>
    <t>Total</t>
  </si>
  <si>
    <t>K3.2</t>
  </si>
  <si>
    <t>Canceladas</t>
  </si>
  <si>
    <t>K3.3</t>
  </si>
  <si>
    <t>En curso</t>
  </si>
  <si>
    <t>K3.4</t>
  </si>
  <si>
    <t>Judicializadas</t>
  </si>
  <si>
    <t>P3</t>
  </si>
  <si>
    <t>K3.5</t>
  </si>
  <si>
    <t>Activas</t>
  </si>
  <si>
    <t>K4.1</t>
  </si>
  <si>
    <t>LTV</t>
  </si>
  <si>
    <t>Total garantías en curso</t>
  </si>
  <si>
    <t>K4.2</t>
  </si>
  <si>
    <t>LTV en curso</t>
  </si>
  <si>
    <t>K4.3</t>
  </si>
  <si>
    <t>Garantías partícipes</t>
  </si>
  <si>
    <t>K4.4</t>
  </si>
  <si>
    <t>LTV partícipes</t>
  </si>
  <si>
    <t>K5.1</t>
  </si>
  <si>
    <t>Duración</t>
  </si>
  <si>
    <t>Media en curso (meses)</t>
  </si>
  <si>
    <t>K5.2</t>
  </si>
  <si>
    <t>Media activas (meses)</t>
  </si>
  <si>
    <t>K5.3</t>
  </si>
  <si>
    <t>Media judicializadas (meses)</t>
  </si>
  <si>
    <t>CÓMO USAR ESTE FICHERO DE CASOS DE PRUEBA</t>
  </si>
  <si>
    <t>ESTRUCTURA DE HOJAS</t>
  </si>
  <si>
    <t xml:space="preserve">  · 1_Calendario     → generateCalendarioTeorico(): verifica interés, principal y total de cada cuota</t>
  </si>
  <si>
    <t xml:space="preserve">  · 2_Capital_Activo → calcCapitalActivoPrestamo(): verifica capital vivo tras cobros/amortizaciones</t>
  </si>
  <si>
    <t xml:space="preserve">  · 3_Situacion      → calcSituacionPrestamo(): verifica si el préstamo está 'al_dia' o 'con_retraso'</t>
  </si>
  <si>
    <t xml:space="preserve">  · 4_KPIs_Dashboard → Valores esperados de los KPIs del Dashboard con dataset de 3 préstamos</t>
  </si>
  <si>
    <t>COLORES EN LAS FÓRMULAS</t>
  </si>
  <si>
    <t xml:space="preserve">  · Texto azul  → Valor esperado (fórmula de referencia Excel)</t>
  </si>
  <si>
    <t xml:space="preserve">  · Texto verde → Columna de referencia / verificación</t>
  </si>
  <si>
    <t xml:space="preserve">  · Texto negro → Valores de entrada (modifica para nuevos escenarios)</t>
  </si>
  <si>
    <t>CÓMO AÑADIR UN CASO NUEVO</t>
  </si>
  <si>
    <t xml:space="preserve">  1. Ve a la hoja correspondiente</t>
  </si>
  <si>
    <t xml:space="preserve">  2. Copia la última fila de datos</t>
  </si>
  <si>
    <t xml:space="preserve">  3. Ajusta las columnas de entrada (A-J en Hoja 1, A-H en Hoja 2, A-I en Hoja 3)</t>
  </si>
  <si>
    <t xml:space="preserve">  4. Las fórmulas de valor esperado se actualizarán automáticamente si usas referencias relativas</t>
  </si>
  <si>
    <t xml:space="preserve">  5. En el fichero .test.js añade el caso correspondiente</t>
  </si>
  <si>
    <t>CÓMO EJECUTAR LOS TESTS</t>
  </si>
  <si>
    <t xml:space="preserve">  · Desde la raíz del proyecto: node tests/promocima.test.js</t>
  </si>
  <si>
    <t xml:space="preserve">  · Resultado: ✓ (pasa) o ✗ (falla) con valor obtenido vs esperado</t>
  </si>
  <si>
    <t xml:space="preserve">  · Tolerancias: ±0.02€ para importes de cuota, ±0.10€ para capital activo</t>
  </si>
  <si>
    <t>FORMATO COBROS EN EL FICHERO .test.js</t>
  </si>
  <si>
    <t xml:space="preserve">  · Pago cuota:          { tipo:"pago_cuota", cuota_num:"1", importe:8606.64, fecha_real:"2024-02-15", prestamo_id:"X" }</t>
  </si>
  <si>
    <t xml:space="preserve">  · Amortización parcial:{ tipo:"amortizacion_parcial", importe_principal:20000, fecha_real:"2024-04-15", prestamo_id:"X" }</t>
  </si>
  <si>
    <t>Sería bueno poder calcular los intereses pendientes a un dia determinado ya que eso se usa cuando se quiere amortizar parcialmente o cancelar un prñéstamo antes de vencimiento.</t>
  </si>
  <si>
    <t>La estructura sería parecida, pero calcular la última cuota en función del día que se pagó la anterior.</t>
  </si>
  <si>
    <t>K1.7</t>
  </si>
  <si>
    <t>K1.8</t>
  </si>
  <si>
    <t>Principal</t>
  </si>
  <si>
    <t>Garantía</t>
  </si>
  <si>
    <t>Ingresos anuales</t>
  </si>
  <si>
    <t>Judicializado</t>
  </si>
  <si>
    <t>% interés</t>
  </si>
  <si>
    <t>Duración - meses</t>
  </si>
  <si>
    <t>K2.1</t>
  </si>
  <si>
    <t>K2.2</t>
  </si>
  <si>
    <t>K2.3</t>
  </si>
  <si>
    <t>K2.4</t>
  </si>
  <si>
    <t>K2.5</t>
  </si>
  <si>
    <t>K2.6</t>
  </si>
  <si>
    <t>K2.7</t>
  </si>
  <si>
    <t>Rendimiento</t>
  </si>
  <si>
    <t>Gestión</t>
  </si>
  <si>
    <t>% Apertura</t>
  </si>
  <si>
    <t>Apertura</t>
  </si>
  <si>
    <t>Rent. Partícipes</t>
  </si>
  <si>
    <t>Rent. Promocima</t>
  </si>
  <si>
    <t>HOJA 4 — KPIs Dashboard. Dataset fijo de 4 préstamos + 3 partícipes. Los valores esperados se calculan con fórmulas sobre las celdas de datos del dataset.</t>
  </si>
  <si>
    <t>P1</t>
  </si>
  <si>
    <t>DATASET Préstamos</t>
  </si>
  <si>
    <t>DATASET Contratos CCP</t>
  </si>
  <si>
    <t>Préstamo</t>
  </si>
  <si>
    <t>P2</t>
  </si>
  <si>
    <t>% participación</t>
  </si>
  <si>
    <t>% gestión</t>
  </si>
  <si>
    <t>Tipo cálculo</t>
  </si>
  <si>
    <t>Fecha del sistema del día del cálculo</t>
  </si>
  <si>
    <t>Fecha Fin</t>
  </si>
  <si>
    <t>Acción</t>
  </si>
  <si>
    <t>Se cobran las 3 primeras cuotas al día</t>
  </si>
  <si>
    <t>Cobrar</t>
  </si>
  <si>
    <t>Intereses</t>
  </si>
  <si>
    <t>Saldo Principal</t>
  </si>
  <si>
    <t>P4</t>
  </si>
  <si>
    <t>Cuota_ini</t>
  </si>
  <si>
    <t>Cuota_fin</t>
  </si>
  <si>
    <t>Aux Tasa</t>
  </si>
  <si>
    <t>Aux Principal</t>
  </si>
  <si>
    <t>Aux Tipo</t>
  </si>
  <si>
    <t>Aux duración</t>
  </si>
  <si>
    <t>Cancelación del préstamo</t>
  </si>
  <si>
    <t>Cancelar</t>
  </si>
  <si>
    <t>Estado final</t>
  </si>
  <si>
    <t>Cancelado</t>
  </si>
  <si>
    <t>Situación final</t>
  </si>
  <si>
    <t>Activo</t>
  </si>
  <si>
    <t>Al día</t>
  </si>
  <si>
    <t>Fecha ini</t>
  </si>
  <si>
    <t>Fecha préstamo</t>
  </si>
  <si>
    <t>Cancelación
Judicialización
Amortización parcial</t>
  </si>
  <si>
    <t>Judicialización</t>
  </si>
  <si>
    <t>Con retraso</t>
  </si>
  <si>
    <t>Desplegado</t>
  </si>
  <si>
    <t>Cálculos intermedios</t>
  </si>
  <si>
    <t>Valor</t>
  </si>
  <si>
    <t>Variable</t>
  </si>
  <si>
    <t>Suma del principal de los préstamos cancelados</t>
  </si>
  <si>
    <t>Acciones sobre préstamos</t>
  </si>
  <si>
    <t>Suma del principal de los préstamos no cancelados</t>
  </si>
  <si>
    <t>Principal final</t>
  </si>
  <si>
    <t>Orden</t>
  </si>
  <si>
    <t>Suma del principal en curso (quitadas amortizaciones parciales o disminución del principal por francés), no canceladas</t>
  </si>
  <si>
    <t>Suma del principal en curso (quitadas amortizaciones parciales o disminución del principal por francés), no canceladas y no judicializadas</t>
  </si>
  <si>
    <t>Suma del principal en curso (quitadas amortizaciones parciales o disminución del principal por francés), no canceladas y no judicializadas y que tienen todas las cuotas pagadas el día</t>
  </si>
  <si>
    <t>Suma del principal en curso (quitadas amortizaciones parciales o disminución del principal por francés), no canceladas y Judicializadas</t>
  </si>
  <si>
    <t>Participado activo</t>
  </si>
  <si>
    <t>Participado judicializado</t>
  </si>
  <si>
    <t>Suma del % de participación del principal en curso (quitadas amortizaciones parciales o disminución del principal por francés), no canceladas y Judicializadas</t>
  </si>
  <si>
    <t>Suma del % de participación del principal en curso (quitadas amortizaciones parciales o disminución del principal por francés), no canceladas y no judicializadas</t>
  </si>
  <si>
    <t>Ingr. Anuales</t>
  </si>
  <si>
    <t>Cuota 1 año curso</t>
  </si>
  <si>
    <t>Suma de los ingresos previstos del año de la fecha del sistema. OJO a los préstamos que acaban en el año.</t>
  </si>
  <si>
    <t>Ingresos activos</t>
  </si>
  <si>
    <t>Ingresos participaciones activas</t>
  </si>
  <si>
    <t>Ing. Anuales</t>
  </si>
  <si>
    <t>Ingr. Anuales prest.</t>
  </si>
  <si>
    <t>Participación</t>
  </si>
  <si>
    <t>OJO, del año en curso</t>
  </si>
  <si>
    <t>Ingresos anuales partícipes</t>
  </si>
  <si>
    <t>Ingresos Promocima Gestión</t>
  </si>
  <si>
    <t>Ingresos por gestión de las operaciones Activas (no canceladas y no judicializadas)</t>
  </si>
  <si>
    <t>Ingresos por gestión Promocima</t>
  </si>
  <si>
    <t>Ingresos por com. Apertura LTM</t>
  </si>
  <si>
    <t>Últimos 12 meses</t>
  </si>
  <si>
    <t>Total de las garantías de los préstamos activos o judicializados</t>
  </si>
  <si>
    <t>Total garantías partícipes en curso</t>
  </si>
  <si>
    <t>Total de las garantías de los préstamos activos o judicializados aplicando la participación de los partícipes</t>
  </si>
  <si>
    <t>Garantías prestamo</t>
  </si>
  <si>
    <t>Garantías part.</t>
  </si>
  <si>
    <t xml:space="preserve">Rent. Activas </t>
  </si>
  <si>
    <t>VALORES ESPERADOS KPIs Dashboard</t>
  </si>
  <si>
    <t>Participado final</t>
  </si>
  <si>
    <t>(Ingresos anuales - Ingr. Partícipes + Gestión + apertura)/(Principal activo - participado activo)</t>
  </si>
  <si>
    <t>P4 francés (8% 24 meses, 3 cuotas cobradas)</t>
  </si>
  <si>
    <t>Nuevo principal</t>
  </si>
  <si>
    <t>Nuevos meses</t>
  </si>
  <si>
    <t>Nuev princ</t>
  </si>
  <si>
    <t>Nueva durac</t>
  </si>
  <si>
    <t>Nueva cuota</t>
  </si>
  <si>
    <t>Mes AP</t>
  </si>
  <si>
    <t>Nueva fecha inicio</t>
  </si>
  <si>
    <t>Judicializar</t>
  </si>
  <si>
    <t>Judicializar tras 3 meses sin pagar</t>
  </si>
  <si>
    <t>HOJA 5 — Funciones de formato: fmt, fmtInt, fmtN, fmtDec</t>
  </si>
  <si>
    <t>Función</t>
  </si>
  <si>
    <t>Entrada (n)</t>
  </si>
  <si>
    <t>Salida esperada</t>
  </si>
  <si>
    <t>F01</t>
  </si>
  <si>
    <t>fmt</t>
  </si>
  <si>
    <t>1.234,56 €</t>
  </si>
  <si>
    <t>Miles con punto, decimales con coma, símbolo €</t>
  </si>
  <si>
    <t>F02</t>
  </si>
  <si>
    <t>-1.234,56 €</t>
  </si>
  <si>
    <t>Negativo</t>
  </si>
  <si>
    <t>F03</t>
  </si>
  <si>
    <t>0,00 €</t>
  </si>
  <si>
    <t>Cero</t>
  </si>
  <si>
    <t>F04</t>
  </si>
  <si>
    <t>1.000.000,00 €</t>
  </si>
  <si>
    <t>Millón</t>
  </si>
  <si>
    <t>F05</t>
  </si>
  <si>
    <t>0,50 €</t>
  </si>
  <si>
    <t>Menos de 1</t>
  </si>
  <si>
    <t>F06</t>
  </si>
  <si>
    <t>—</t>
  </si>
  <si>
    <t>Null → guion largo</t>
  </si>
  <si>
    <t>F07</t>
  </si>
  <si>
    <t>fmtInt</t>
  </si>
  <si>
    <t>1.235 €</t>
  </si>
  <si>
    <t>Redondea a entero</t>
  </si>
  <si>
    <t>F08</t>
  </si>
  <si>
    <t>1.000.000 €</t>
  </si>
  <si>
    <t>Millón sin decimales</t>
  </si>
  <si>
    <t>F09</t>
  </si>
  <si>
    <t>F10</t>
  </si>
  <si>
    <t>fmtN</t>
  </si>
  <si>
    <t>1.235</t>
  </si>
  <si>
    <t>Sin € ni decimales</t>
  </si>
  <si>
    <t>F11</t>
  </si>
  <si>
    <t>-500</t>
  </si>
  <si>
    <t>Negativo sin €</t>
  </si>
  <si>
    <t>F12</t>
  </si>
  <si>
    <t>F13</t>
  </si>
  <si>
    <t>fmtDec</t>
  </si>
  <si>
    <t>1.234,56</t>
  </si>
  <si>
    <t>Con decimales, sin €</t>
  </si>
  <si>
    <t>F14</t>
  </si>
  <si>
    <t>-1.234,56</t>
  </si>
  <si>
    <t>F15</t>
  </si>
  <si>
    <t>HOJA 6 — Funciones auxiliares: calcInteresOrdinario, calcInteresesDemora, getLTV</t>
  </si>
  <si>
    <t>Parámetros</t>
  </si>
  <si>
    <t>Fórmula</t>
  </si>
  <si>
    <t>C01</t>
  </si>
  <si>
    <t>calcInteresOrdinario</t>
  </si>
  <si>
    <t>importe=100000, tasa=6</t>
  </si>
  <si>
    <t>100000 × 6% / 12</t>
  </si>
  <si>
    <t>Interés mensual americano estándar</t>
  </si>
  <si>
    <t>C02</t>
  </si>
  <si>
    <t>importe=60000, tasa=8</t>
  </si>
  <si>
    <t>60000 × 8% / 12</t>
  </si>
  <si>
    <t>Francés primer mes</t>
  </si>
  <si>
    <t>C03</t>
  </si>
  <si>
    <t>importe=80000, tasa=9</t>
  </si>
  <si>
    <t>80000 × 9% / 12</t>
  </si>
  <si>
    <t>Americano 9%</t>
  </si>
  <si>
    <t>C04</t>
  </si>
  <si>
    <t>importe=50000, tasa=0</t>
  </si>
  <si>
    <t>50000 × 0% / 12</t>
  </si>
  <si>
    <t>Tasa cero</t>
  </si>
  <si>
    <t>D01</t>
  </si>
  <si>
    <t>calcInteresesDemora</t>
  </si>
  <si>
    <t>importe=10000, tasa=14, dias=30</t>
  </si>
  <si>
    <t>10000×14%/365×30</t>
  </si>
  <si>
    <t>Un mes de demora aprox</t>
  </si>
  <si>
    <t>D02</t>
  </si>
  <si>
    <t>importe=10000, tasa=14, dias=0</t>
  </si>
  <si>
    <t>10000×14%/365×0</t>
  </si>
  <si>
    <t>Cero días</t>
  </si>
  <si>
    <t>D03</t>
  </si>
  <si>
    <t>importe=10000, tasa=14, dias=365</t>
  </si>
  <si>
    <t>10000×14%/365×365</t>
  </si>
  <si>
    <t>Un año exacto</t>
  </si>
  <si>
    <t>D04</t>
  </si>
  <si>
    <t>importe=50000, tasa=10, dias=90</t>
  </si>
  <si>
    <t>50000×10%/365×90</t>
  </si>
  <si>
    <t>90 días</t>
  </si>
  <si>
    <t>L01</t>
  </si>
  <si>
    <t>getLTV</t>
  </si>
  <si>
    <t>{importe:100000}, {valor_tasacion:200000}</t>
  </si>
  <si>
    <t>50.0</t>
  </si>
  <si>
    <t>100000/200000×100</t>
  </si>
  <si>
    <t>LTV 50%</t>
  </si>
  <si>
    <t>L02</t>
  </si>
  <si>
    <t>{importe:80000},  {valor_tasacion:300000}</t>
  </si>
  <si>
    <t>26.7</t>
  </si>
  <si>
    <t>80000/300000×100</t>
  </si>
  <si>
    <t>LTV 26.7%</t>
  </si>
  <si>
    <t>L03</t>
  </si>
  <si>
    <t>{importe:100000}, garantia=null</t>
  </si>
  <si>
    <t>Sin garantía → null</t>
  </si>
  <si>
    <t>HOJA 7 — generateCalendarioCCP: calendario de cuotas del partícipe</t>
  </si>
  <si>
    <t>Préstamo base: Americano 100k 6% 12m inicio 2024-01-15 día 15 | IRPF 19% | Gestión 2% | Participación 40% (importe 40.000€) | Fórmulas: Beneficio = 40000 × 6%/12 × factor   Gestión = 40000 × 2%/12 × factor   Bruto = Beneficio - Gestión   IRPF = Bruto × 19%   Neto = Bruto - IRPF</t>
  </si>
  <si>
    <t>fecha_firma contrato</t>
  </si>
  <si>
    <t>fecha_prestamo esperada</t>
  </si>
  <si>
    <t>Factor esperado</t>
  </si>
  <si>
    <t>Beneficio esperado</t>
  </si>
  <si>
    <t>Gestión esperada</t>
  </si>
  <si>
    <t>Neto esperado</t>
  </si>
  <si>
    <t>CC1-a</t>
  </si>
  <si>
    <t>Firma mismo día cobro (día 15) → factor=1 c1</t>
  </si>
  <si>
    <t>2024-02-15</t>
  </si>
  <si>
    <t>diaFirma=diaCobro → factor=1</t>
  </si>
  <si>
    <t>CC1-b</t>
  </si>
  <si>
    <t>Firma mismo día cobro → c2 también factor=1</t>
  </si>
  <si>
    <t>2024-03-15</t>
  </si>
  <si>
    <t>cuota 2 siempre factor=1 si firma&lt;=diaCobro</t>
  </si>
  <si>
    <t>CC1-c</t>
  </si>
  <si>
    <t>Firma mismo día cobro → última cuota (c12)</t>
  </si>
  <si>
    <t>2025-01-15</t>
  </si>
  <si>
    <t>cuota 12 factor=1</t>
  </si>
  <si>
    <t>CC2-a</t>
  </si>
  <si>
    <t>Firma día 5, cobro día 15 → factor=(15-5)/30=0.333</t>
  </si>
  <si>
    <t>2024-01-05</t>
  </si>
  <si>
    <t>factor=(15-5)/30</t>
  </si>
  <si>
    <t>CC2-b</t>
  </si>
  <si>
    <t>Firma día 5, cobro día 15 → c2 factor=1</t>
  </si>
  <si>
    <t>diaFirma(5)&lt;=diaCobro(15) → c2=1</t>
  </si>
  <si>
    <t>CC3-a</t>
  </si>
  <si>
    <t>Firma día 20, cobro día 15 → c1 omitida (factor=0)</t>
  </si>
  <si>
    <t>2024-02-20</t>
  </si>
  <si>
    <t>factor=0 → cuota omitida del calendario</t>
  </si>
  <si>
    <t>CC3-b</t>
  </si>
  <si>
    <t>Firma día 20, cobro día 15 → c2 factor=(30-20+15)/30=0.833</t>
  </si>
  <si>
    <t>2024-04-15</t>
  </si>
  <si>
    <t>factor=(30-20+15)/30</t>
  </si>
  <si>
    <t>CC3-c</t>
  </si>
  <si>
    <t>Firma día 20, cobro día 15 → c3 factor=1</t>
  </si>
  <si>
    <t>2024-05-15</t>
  </si>
  <si>
    <t>cuota 3+ siempre factor=1</t>
  </si>
  <si>
    <t>CC4-a</t>
  </si>
  <si>
    <t>Firma 2024-06-15 (c5 del préstamo) → primera cuota del partícipe</t>
  </si>
  <si>
    <t>2024-06-15</t>
  </si>
  <si>
    <t>2024-07-15</t>
  </si>
  <si>
    <t>firma coincide con día cobro → factor=1</t>
  </si>
  <si>
    <t>CC4-b</t>
  </si>
  <si>
    <t>Firma 2024-06-15 → cuota 6 del préstamo es c2 del partícipe</t>
  </si>
  <si>
    <t>2024-08-15</t>
  </si>
  <si>
    <t>cuota 2+ factor=1</t>
  </si>
  <si>
    <t>HOJA 8 — calcularLineasCCP: estado de cada línea del calendario del partícipe</t>
  </si>
  <si>
    <t>Interés</t>
  </si>
  <si>
    <t>Fecha firma</t>
  </si>
  <si>
    <t xml:space="preserve">Gestión </t>
  </si>
  <si>
    <t>IRPF</t>
  </si>
  <si>
    <t>Cobro mensual</t>
  </si>
  <si>
    <t>Pago mensual</t>
  </si>
  <si>
    <t>Gestión mensual</t>
  </si>
  <si>
    <t>Bruto</t>
  </si>
  <si>
    <t>Neto</t>
  </si>
  <si>
    <t>Dataset fijo: Americano 100k 6% 12m inicio 2024-01-15 día 15 | CCP: firma 2024-01-15, participación 40% (40.000€), gestión 2%, IRPF 19% | Neto cuota completa = 108€  (beneficio 200 - gestión 66.67 = bruto 133.33 - IRPF 25.33 = 108)</t>
  </si>
  <si>
    <t>Cobros préstamo</t>
  </si>
  <si>
    <t>Pagos partícipe</t>
  </si>
  <si>
    <t>col_pendiente</t>
  </si>
  <si>
    <t>col_devengado</t>
  </si>
  <si>
    <t>col_pagado</t>
  </si>
  <si>
    <t>Estado</t>
  </si>
  <si>
    <t>Sin cobros → todo pendiente</t>
  </si>
  <si>
    <t>Sin pagos</t>
  </si>
  <si>
    <t>pendiente</t>
  </si>
  <si>
    <t>Préstamo no ha cobrado nada</t>
  </si>
  <si>
    <t>Sin cobros → todo pendiente (c3)</t>
  </si>
  <si>
    <t>Mismo para cualquier cuota sin cobro</t>
  </si>
  <si>
    <t>Cuota 1 cobrada, sin pago partícipe → devengado</t>
  </si>
  <si>
    <t>c1 cobrada (500€ interés)</t>
  </si>
  <si>
    <t>devengado</t>
  </si>
  <si>
    <t>El préstamo cobró, el partícipe no ha recibido nada</t>
  </si>
  <si>
    <t>L04</t>
  </si>
  <si>
    <t>Cuotas 1-3 cobradas, sin pago → todas devengadas</t>
  </si>
  <si>
    <t>c1,c2,c3 cobradas</t>
  </si>
  <si>
    <t>Cuota 2 también devengada</t>
  </si>
  <si>
    <t>L05</t>
  </si>
  <si>
    <t>Cuota 1 cobrada y pagada al partícipe</t>
  </si>
  <si>
    <t>c1 cobrada</t>
  </si>
  <si>
    <t>Pago 108€</t>
  </si>
  <si>
    <t>pagado</t>
  </si>
  <si>
    <t>Pago cubre exactamente el neto</t>
  </si>
  <si>
    <t>L06</t>
  </si>
  <si>
    <t>Cuota 1 cobrada, pago parcial 50€</t>
  </si>
  <si>
    <t>Pago 50€</t>
  </si>
  <si>
    <t>mixto</t>
  </si>
  <si>
    <t>col_devengado = 108-50 = 58</t>
  </si>
  <si>
    <t>L07</t>
  </si>
  <si>
    <t>c1 y c2 cobradas, pago 108€ → c1 pagada c2 devengada</t>
  </si>
  <si>
    <t>c1 y c2 cobradas</t>
  </si>
  <si>
    <t>El pago cubre c1 completa</t>
  </si>
  <si>
    <t>L08</t>
  </si>
  <si>
    <t>Pool agotado en c1, c2 queda devengada</t>
  </si>
  <si>
    <t>L09</t>
  </si>
  <si>
    <t>c1 y c2 cobradas, pago 216€ → ambas pagadas</t>
  </si>
  <si>
    <t>Pago 216€</t>
  </si>
  <si>
    <t>Pago 216 = 2 × 108</t>
  </si>
  <si>
    <t>L10</t>
  </si>
  <si>
    <t>c1 y c2 cobradas, pago 216€ → c2 también pagada</t>
  </si>
  <si>
    <t>Pool cubre ambas</t>
  </si>
  <si>
    <t>L11</t>
  </si>
  <si>
    <t>c1 cobrada solo a medias (250€ de 500€) → ratio 0.5 → col_devengado=54</t>
  </si>
  <si>
    <t>c1 cobrada 250€ (50% del interés)</t>
  </si>
  <si>
    <t>ratio=0.5 → neto_cobrado=54, pendiente=54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</si>
</sst>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  <numFmt numFmtId="165" formatCode="#,##0.00\ _€;[Red]\-#,##0.00\ _€"/>
  </numFmts>
  <fonts count="4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9"/>
      <color rgb="FF666666"/>
      <name val="Cambria"/>
      <family val="1"/>
    </font>
    <font>
      <b/>
      <sz val="10"/>
      <color rgb="FFFFFFFF"/>
      <name val="Cambria"/>
      <family val="1"/>
    </font>
    <font>
      <sz val="10"/>
      <color rgb="FF000000"/>
      <name val="Cambria"/>
      <family val="1"/>
    </font>
    <font>
      <sz val="10"/>
      <color rgb="FF0070C0"/>
      <name val="Cambria"/>
      <family val="1"/>
    </font>
    <font>
      <b/>
      <sz val="10"/>
      <color rgb="FF000000"/>
      <name val="Cambria"/>
      <family val="1"/>
    </font>
    <font>
      <b/>
      <sz val="13"/>
      <color rgb="FF0070C0"/>
      <name val="Cambria"/>
      <family val="1"/>
    </font>
    <font>
      <sz val="10"/>
      <name val="Cambria"/>
      <family val="1"/>
    </font>
    <font>
      <b/>
      <sz val="11"/>
      <name val="Cambria"/>
      <family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i/>
      <sz val="10"/>
      <name val="Calibri"/>
      <family val="2"/>
    </font>
    <font>
      <sz val="11"/>
      <color theme="4" tint="-0.249977111117893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2F2F2"/>
        <bgColor rgb="FFE9F5E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E9F5E9"/>
      </patternFill>
    </fill>
    <fill>
      <patternFill patternType="solid">
        <fgColor rgb="FFFCE4D6"/>
        <bgColor rgb="FFFEF3E2"/>
      </patternFill>
    </fill>
    <fill>
      <patternFill patternType="solid">
        <fgColor rgb="FF404040"/>
        <bgColor rgb="FF33330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E9F5E9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rgb="FFE9F5E9"/>
      </patternFill>
    </fill>
    <fill>
      <patternFill patternType="solid">
        <fgColor theme="4" tint="0.79998168889431442"/>
        <bgColor rgb="FFF2F2F2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2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0" applyNumberFormat="0" applyFill="0" applyBorder="0" applyAlignment="0" applyProtection="0"/>
    <xf numFmtId="0" fontId="19" fillId="8" borderId="5" applyNumberFormat="0" applyAlignment="0" applyProtection="0"/>
    <xf numFmtId="0" fontId="20" fillId="9" borderId="6" applyNumberFormat="0" applyAlignment="0" applyProtection="0"/>
    <xf numFmtId="0" fontId="21" fillId="9" borderId="5" applyNumberFormat="0" applyAlignment="0" applyProtection="0"/>
    <xf numFmtId="0" fontId="22" fillId="0" borderId="7" applyNumberFormat="0" applyFill="0" applyAlignment="0" applyProtection="0"/>
    <xf numFmtId="0" fontId="23" fillId="10" borderId="8" applyNumberFormat="0" applyAlignment="0" applyProtection="0"/>
    <xf numFmtId="0" fontId="13" fillId="11" borderId="9" applyNumberFormat="0" applyFont="0" applyAlignment="0" applyProtection="0"/>
    <xf numFmtId="0" fontId="24" fillId="0" borderId="10" applyNumberFormat="0" applyFill="0" applyAlignment="0" applyProtection="0"/>
    <xf numFmtId="0" fontId="2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5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5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5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4" fontId="26" fillId="37" borderId="0" applyNumberFormat="0" applyAlignment="0" applyProtection="0">
      <alignment horizontal="right" vertical="center" wrapText="1"/>
    </xf>
    <xf numFmtId="43" fontId="4" fillId="36" borderId="0" applyNumberFormat="0" applyAlignment="0" applyProtection="0">
      <alignment horizontal="right" vertical="center" wrapText="1"/>
    </xf>
    <xf numFmtId="10" fontId="32" fillId="39" borderId="0" applyNumberFormat="0" applyAlignment="0" applyProtection="0"/>
    <xf numFmtId="0" fontId="33" fillId="40" borderId="0" applyNumberFormat="0" applyBorder="0" applyAlignment="0" applyProtection="0"/>
    <xf numFmtId="0" fontId="34" fillId="41" borderId="0" applyNumberFormat="0" applyBorder="0" applyAlignment="0" applyProtection="0"/>
    <xf numFmtId="0" fontId="35" fillId="42" borderId="0" applyNumberFormat="0" applyBorder="0" applyAlignment="0" applyProtection="0"/>
    <xf numFmtId="164" fontId="3" fillId="36" borderId="0" applyFont="0" applyFill="0" applyBorder="0" applyAlignment="0" applyProtection="0"/>
    <xf numFmtId="14" fontId="13" fillId="43" borderId="0" applyNumberFormat="0" applyAlignment="0" applyProtection="0">
      <alignment horizontal="right" vertical="center" wrapText="1"/>
    </xf>
    <xf numFmtId="0" fontId="38" fillId="0" borderId="0"/>
    <xf numFmtId="0" fontId="25" fillId="12" borderId="0" applyNumberFormat="0" applyBorder="0" applyAlignment="0" applyProtection="0"/>
    <xf numFmtId="43" fontId="38" fillId="0" borderId="0" applyFont="0" applyFill="0" applyBorder="0" applyAlignment="0" applyProtection="0"/>
  </cellStyleXfs>
  <cellXfs count="149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  <xf numFmtId="4" fontId="7" fillId="3" borderId="1" xfId="0" applyNumberFormat="1" applyFont="1" applyFill="1" applyBorder="1" applyAlignment="1">
      <alignment horizontal="right" wrapText="1"/>
    </xf>
    <xf numFmtId="10" fontId="7" fillId="3" borderId="1" xfId="0" applyNumberFormat="1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 wrapText="1"/>
    </xf>
    <xf numFmtId="4" fontId="8" fillId="3" borderId="1" xfId="0" applyNumberFormat="1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left" wrapText="1"/>
    </xf>
    <xf numFmtId="4" fontId="7" fillId="4" borderId="1" xfId="0" applyNumberFormat="1" applyFont="1" applyFill="1" applyBorder="1" applyAlignment="1">
      <alignment horizontal="right" wrapText="1"/>
    </xf>
    <xf numFmtId="10" fontId="7" fillId="4" borderId="1" xfId="0" applyNumberFormat="1" applyFont="1" applyFill="1" applyBorder="1" applyAlignment="1">
      <alignment horizontal="right" wrapText="1"/>
    </xf>
    <xf numFmtId="0" fontId="7" fillId="4" borderId="1" xfId="0" applyFont="1" applyFill="1" applyBorder="1" applyAlignment="1">
      <alignment horizontal="center" wrapText="1"/>
    </xf>
    <xf numFmtId="4" fontId="8" fillId="4" borderId="1" xfId="0" applyNumberFormat="1" applyFont="1" applyFill="1" applyBorder="1" applyAlignment="1">
      <alignment horizontal="right" wrapText="1"/>
    </xf>
    <xf numFmtId="0" fontId="9" fillId="3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7" fillId="0" borderId="0" xfId="0" applyFont="1"/>
    <xf numFmtId="0" fontId="4" fillId="0" borderId="0" xfId="0" applyFont="1"/>
    <xf numFmtId="0" fontId="28" fillId="2" borderId="0" xfId="0" applyFont="1" applyFill="1" applyAlignment="1">
      <alignment horizontal="center" wrapText="1"/>
    </xf>
    <xf numFmtId="0" fontId="26" fillId="37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29" fillId="4" borderId="0" xfId="0" applyFont="1" applyFill="1" applyAlignment="1">
      <alignment horizontal="left" wrapText="1"/>
    </xf>
    <xf numFmtId="0" fontId="30" fillId="4" borderId="0" xfId="0" applyFont="1" applyFill="1" applyAlignment="1">
      <alignment horizontal="left" wrapText="1"/>
    </xf>
    <xf numFmtId="4" fontId="30" fillId="4" borderId="0" xfId="0" applyNumberFormat="1" applyFont="1" applyFill="1" applyAlignment="1">
      <alignment horizontal="right" wrapText="1"/>
    </xf>
    <xf numFmtId="0" fontId="26" fillId="37" borderId="0" xfId="41" applyNumberFormat="1" applyAlignment="1"/>
    <xf numFmtId="0" fontId="29" fillId="38" borderId="0" xfId="0" applyFont="1" applyFill="1" applyAlignment="1">
      <alignment horizontal="left" vertical="center" wrapText="1"/>
    </xf>
    <xf numFmtId="0" fontId="30" fillId="38" borderId="0" xfId="0" applyFont="1" applyFill="1" applyAlignment="1">
      <alignment horizontal="left" vertical="center" wrapText="1"/>
    </xf>
    <xf numFmtId="4" fontId="30" fillId="38" borderId="0" xfId="0" applyNumberFormat="1" applyFont="1" applyFill="1" applyAlignment="1">
      <alignment horizontal="right" vertical="center" wrapText="1"/>
    </xf>
    <xf numFmtId="9" fontId="30" fillId="38" borderId="0" xfId="2" applyFont="1" applyFill="1" applyBorder="1" applyAlignment="1">
      <alignment horizontal="right" vertical="center" wrapText="1"/>
    </xf>
    <xf numFmtId="0" fontId="30" fillId="38" borderId="0" xfId="0" applyFont="1" applyFill="1" applyAlignment="1">
      <alignment horizontal="right" vertical="center" wrapText="1"/>
    </xf>
    <xf numFmtId="4" fontId="4" fillId="39" borderId="0" xfId="0" applyNumberFormat="1" applyFont="1" applyFill="1" applyAlignment="1">
      <alignment vertical="center"/>
    </xf>
    <xf numFmtId="9" fontId="4" fillId="39" borderId="0" xfId="0" applyNumberFormat="1" applyFont="1" applyFill="1" applyAlignment="1">
      <alignment vertical="center"/>
    </xf>
    <xf numFmtId="0" fontId="4" fillId="39" borderId="0" xfId="0" applyFont="1" applyFill="1" applyAlignment="1">
      <alignment vertical="center"/>
    </xf>
    <xf numFmtId="14" fontId="26" fillId="37" borderId="0" xfId="0" applyNumberFormat="1" applyFont="1" applyFill="1" applyAlignment="1">
      <alignment horizontal="right" vertical="center" wrapText="1"/>
    </xf>
    <xf numFmtId="0" fontId="28" fillId="2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/>
    </xf>
    <xf numFmtId="4" fontId="26" fillId="37" borderId="0" xfId="0" applyNumberFormat="1" applyFont="1" applyFill="1" applyAlignment="1">
      <alignment horizontal="center" vertical="center" wrapText="1"/>
    </xf>
    <xf numFmtId="0" fontId="26" fillId="37" borderId="0" xfId="41" applyNumberFormat="1" applyAlignment="1">
      <alignment horizontal="center" vertical="center"/>
    </xf>
    <xf numFmtId="0" fontId="13" fillId="43" borderId="0" xfId="48" applyNumberFormat="1" applyAlignment="1">
      <alignment horizontal="center" vertical="center"/>
    </xf>
    <xf numFmtId="0" fontId="26" fillId="37" borderId="0" xfId="41" applyNumberFormat="1" applyAlignment="1">
      <alignment vertical="center"/>
    </xf>
    <xf numFmtId="0" fontId="26" fillId="37" borderId="0" xfId="0" applyFont="1" applyFill="1" applyAlignment="1">
      <alignment horizontal="center" vertical="center" wrapText="1"/>
    </xf>
    <xf numFmtId="14" fontId="26" fillId="37" borderId="0" xfId="0" applyNumberFormat="1" applyFont="1" applyFill="1" applyAlignment="1">
      <alignment horizontal="center" vertical="center" wrapText="1"/>
    </xf>
    <xf numFmtId="9" fontId="26" fillId="37" borderId="0" xfId="0" applyNumberFormat="1" applyFont="1" applyFill="1" applyAlignment="1">
      <alignment horizontal="center" vertical="center" wrapText="1"/>
    </xf>
    <xf numFmtId="43" fontId="4" fillId="36" borderId="0" xfId="0" applyNumberFormat="1" applyFont="1" applyFill="1" applyAlignment="1">
      <alignment horizontal="center" vertical="center" wrapText="1"/>
    </xf>
    <xf numFmtId="9" fontId="26" fillId="37" borderId="0" xfId="41" applyNumberFormat="1" applyAlignment="1">
      <alignment horizontal="center" vertical="center" wrapText="1"/>
    </xf>
    <xf numFmtId="0" fontId="26" fillId="37" borderId="0" xfId="41" applyNumberFormat="1" applyAlignment="1">
      <alignment horizontal="center" vertical="center" wrapText="1"/>
    </xf>
    <xf numFmtId="4" fontId="4" fillId="36" borderId="0" xfId="42" applyNumberFormat="1" applyAlignment="1">
      <alignment horizontal="center" vertical="center" wrapText="1"/>
    </xf>
    <xf numFmtId="10" fontId="32" fillId="39" borderId="0" xfId="2" applyNumberFormat="1" applyFont="1" applyFill="1" applyBorder="1" applyAlignment="1">
      <alignment horizontal="center" vertical="center"/>
    </xf>
    <xf numFmtId="4" fontId="32" fillId="39" borderId="0" xfId="43" applyNumberFormat="1" applyAlignment="1">
      <alignment horizontal="center" vertical="center"/>
    </xf>
    <xf numFmtId="14" fontId="4" fillId="36" borderId="0" xfId="42" applyNumberFormat="1" applyAlignment="1">
      <alignment horizontal="center" vertical="center" wrapText="1"/>
    </xf>
    <xf numFmtId="14" fontId="0" fillId="43" borderId="0" xfId="0" applyNumberFormat="1" applyFill="1" applyAlignment="1">
      <alignment horizontal="center" vertical="center" wrapText="1"/>
    </xf>
    <xf numFmtId="4" fontId="26" fillId="37" borderId="0" xfId="41" applyNumberFormat="1" applyAlignment="1">
      <alignment horizontal="center" vertical="center" wrapText="1"/>
    </xf>
    <xf numFmtId="164" fontId="4" fillId="36" borderId="0" xfId="47" applyFont="1" applyFill="1" applyAlignment="1">
      <alignment horizontal="center" vertical="center"/>
    </xf>
    <xf numFmtId="164" fontId="4" fillId="36" borderId="0" xfId="0" applyNumberFormat="1" applyFont="1" applyFill="1" applyAlignment="1">
      <alignment horizontal="center" vertical="center"/>
    </xf>
    <xf numFmtId="4" fontId="4" fillId="36" borderId="0" xfId="42" applyNumberFormat="1" applyAlignment="1">
      <alignment horizontal="center" vertical="center"/>
    </xf>
    <xf numFmtId="0" fontId="32" fillId="39" borderId="0" xfId="43" applyNumberFormat="1" applyAlignment="1">
      <alignment horizontal="center" vertical="center"/>
    </xf>
    <xf numFmtId="0" fontId="26" fillId="37" borderId="0" xfId="41" applyNumberFormat="1" applyAlignment="1">
      <alignment horizontal="left" vertical="center" wrapText="1"/>
    </xf>
    <xf numFmtId="14" fontId="32" fillId="39" borderId="0" xfId="43" applyNumberFormat="1" applyAlignment="1">
      <alignment horizontal="center" vertical="center" wrapText="1"/>
    </xf>
    <xf numFmtId="164" fontId="13" fillId="43" borderId="0" xfId="48" applyNumberFormat="1" applyAlignment="1">
      <alignment horizontal="center" vertical="center"/>
    </xf>
    <xf numFmtId="164" fontId="32" fillId="39" borderId="0" xfId="43" applyNumberFormat="1" applyAlignment="1">
      <alignment horizontal="center" vertical="center"/>
    </xf>
    <xf numFmtId="0" fontId="26" fillId="39" borderId="0" xfId="41" applyNumberFormat="1" applyFill="1" applyAlignment="1">
      <alignment horizontal="center" vertical="center" wrapText="1"/>
    </xf>
    <xf numFmtId="0" fontId="26" fillId="39" borderId="0" xfId="41" applyNumberFormat="1" applyFill="1" applyAlignment="1">
      <alignment horizontal="left" vertical="center" wrapText="1"/>
    </xf>
    <xf numFmtId="14" fontId="4" fillId="39" borderId="0" xfId="42" applyNumberFormat="1" applyFill="1" applyAlignment="1">
      <alignment horizontal="center" vertical="center" wrapText="1"/>
    </xf>
    <xf numFmtId="4" fontId="26" fillId="39" borderId="0" xfId="41" applyNumberFormat="1" applyFill="1" applyAlignment="1">
      <alignment horizontal="center" vertical="center" wrapText="1"/>
    </xf>
    <xf numFmtId="164" fontId="26" fillId="39" borderId="0" xfId="41" applyNumberFormat="1" applyFill="1" applyAlignment="1">
      <alignment horizontal="center" vertical="center"/>
    </xf>
    <xf numFmtId="164" fontId="4" fillId="39" borderId="0" xfId="0" applyNumberFormat="1" applyFont="1" applyFill="1" applyAlignment="1">
      <alignment horizontal="center" vertical="center"/>
    </xf>
    <xf numFmtId="4" fontId="4" fillId="39" borderId="0" xfId="42" applyNumberFormat="1" applyFill="1" applyAlignment="1">
      <alignment horizontal="center" vertical="center"/>
    </xf>
    <xf numFmtId="0" fontId="24" fillId="39" borderId="0" xfId="41" applyNumberFormat="1" applyFont="1" applyFill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24" fillId="39" borderId="0" xfId="0" applyFont="1" applyFill="1" applyAlignment="1">
      <alignment horizontal="left" vertical="center" wrapText="1"/>
    </xf>
    <xf numFmtId="4" fontId="24" fillId="39" borderId="0" xfId="0" applyNumberFormat="1" applyFont="1" applyFill="1" applyAlignment="1">
      <alignment horizontal="center" vertical="center" wrapText="1"/>
    </xf>
    <xf numFmtId="14" fontId="24" fillId="39" borderId="0" xfId="0" applyNumberFormat="1" applyFont="1" applyFill="1" applyAlignment="1">
      <alignment horizontal="center" vertical="center" wrapText="1"/>
    </xf>
    <xf numFmtId="9" fontId="24" fillId="39" borderId="0" xfId="0" applyNumberFormat="1" applyFont="1" applyFill="1" applyAlignment="1">
      <alignment horizontal="center" vertical="center" wrapText="1"/>
    </xf>
    <xf numFmtId="43" fontId="24" fillId="39" borderId="0" xfId="0" applyNumberFormat="1" applyFont="1" applyFill="1" applyAlignment="1">
      <alignment horizontal="center" vertical="center" wrapText="1"/>
    </xf>
    <xf numFmtId="0" fontId="24" fillId="39" borderId="0" xfId="0" applyFont="1" applyFill="1" applyAlignment="1">
      <alignment horizontal="center" vertical="center"/>
    </xf>
    <xf numFmtId="10" fontId="24" fillId="39" borderId="0" xfId="42" applyNumberFormat="1" applyFont="1" applyFill="1" applyAlignment="1">
      <alignment horizontal="center" vertical="center"/>
    </xf>
    <xf numFmtId="0" fontId="24" fillId="39" borderId="0" xfId="41" applyNumberFormat="1" applyFont="1" applyFill="1" applyAlignment="1">
      <alignment horizontal="center" vertical="center"/>
    </xf>
    <xf numFmtId="0" fontId="24" fillId="39" borderId="0" xfId="0" applyFont="1" applyFill="1" applyAlignment="1">
      <alignment vertical="center"/>
    </xf>
    <xf numFmtId="0" fontId="28" fillId="7" borderId="0" xfId="0" applyFont="1" applyFill="1" applyAlignment="1">
      <alignment horizontal="centerContinuous"/>
    </xf>
    <xf numFmtId="164" fontId="4" fillId="36" borderId="0" xfId="42" applyNumberFormat="1" applyAlignment="1">
      <alignment horizontal="center" vertical="center"/>
    </xf>
    <xf numFmtId="0" fontId="4" fillId="36" borderId="0" xfId="42" applyNumberFormat="1" applyAlignment="1">
      <alignment horizontal="left" vertical="center" wrapText="1"/>
    </xf>
    <xf numFmtId="164" fontId="26" fillId="37" borderId="0" xfId="47" applyFont="1" applyFill="1" applyAlignment="1">
      <alignment horizontal="center" vertical="center" wrapText="1"/>
    </xf>
    <xf numFmtId="10" fontId="4" fillId="36" borderId="0" xfId="2" applyNumberFormat="1" applyFont="1" applyFill="1" applyAlignment="1">
      <alignment horizontal="center" vertical="center"/>
    </xf>
    <xf numFmtId="0" fontId="26" fillId="37" borderId="0" xfId="41" applyNumberFormat="1" applyAlignment="1">
      <alignment vertical="center" wrapText="1"/>
    </xf>
    <xf numFmtId="4" fontId="32" fillId="39" borderId="0" xfId="43" applyNumberFormat="1" applyAlignment="1">
      <alignment horizontal="right" vertical="center" wrapText="1"/>
    </xf>
    <xf numFmtId="10" fontId="4" fillId="36" borderId="0" xfId="42" applyNumberFormat="1" applyAlignment="1">
      <alignment horizontal="right" vertical="center" wrapText="1"/>
    </xf>
    <xf numFmtId="4" fontId="32" fillId="39" borderId="0" xfId="43" applyNumberFormat="1"/>
    <xf numFmtId="3" fontId="32" fillId="39" borderId="0" xfId="43" applyNumberFormat="1"/>
    <xf numFmtId="3" fontId="4" fillId="36" borderId="0" xfId="42" applyNumberFormat="1" applyAlignment="1">
      <alignment horizontal="right" vertical="center" wrapText="1"/>
    </xf>
    <xf numFmtId="10" fontId="4" fillId="36" borderId="11" xfId="42" applyNumberFormat="1" applyBorder="1" applyAlignment="1">
      <alignment horizontal="right" vertical="center" wrapText="1"/>
    </xf>
    <xf numFmtId="4" fontId="32" fillId="39" borderId="12" xfId="43" applyNumberFormat="1" applyBorder="1" applyAlignment="1">
      <alignment horizontal="right" vertical="center" wrapText="1"/>
    </xf>
    <xf numFmtId="3" fontId="4" fillId="36" borderId="11" xfId="42" applyNumberFormat="1" applyBorder="1" applyAlignment="1">
      <alignment horizontal="right" vertical="center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8" fillId="7" borderId="0" xfId="0" applyFont="1" applyFill="1" applyAlignment="1">
      <alignment horizontal="centerContinuous" wrapText="1"/>
    </xf>
    <xf numFmtId="164" fontId="4" fillId="36" borderId="0" xfId="47" applyFont="1" applyAlignment="1">
      <alignment vertical="center" wrapText="1"/>
    </xf>
    <xf numFmtId="10" fontId="32" fillId="39" borderId="0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3" fontId="26" fillId="37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4" fontId="7" fillId="3" borderId="1" xfId="0" applyNumberFormat="1" applyFont="1" applyFill="1" applyBorder="1" applyAlignment="1">
      <alignment horizontal="right" vertical="center" wrapText="1"/>
    </xf>
    <xf numFmtId="10" fontId="7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4" fontId="7" fillId="4" borderId="1" xfId="0" applyNumberFormat="1" applyFont="1" applyFill="1" applyBorder="1" applyAlignment="1">
      <alignment horizontal="right" vertical="center" wrapText="1"/>
    </xf>
    <xf numFmtId="10" fontId="7" fillId="4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right" vertical="center" wrapText="1"/>
    </xf>
    <xf numFmtId="14" fontId="7" fillId="3" borderId="1" xfId="0" applyNumberFormat="1" applyFont="1" applyFill="1" applyBorder="1" applyAlignment="1">
      <alignment horizontal="center" wrapText="1"/>
    </xf>
    <xf numFmtId="0" fontId="31" fillId="44" borderId="0" xfId="0" applyFont="1" applyFill="1" applyAlignment="1">
      <alignment horizontal="left" vertical="center" wrapText="1"/>
    </xf>
    <xf numFmtId="0" fontId="30" fillId="44" borderId="0" xfId="0" applyFont="1" applyFill="1" applyAlignment="1">
      <alignment horizontal="left" vertical="center" wrapText="1"/>
    </xf>
    <xf numFmtId="0" fontId="31" fillId="44" borderId="11" xfId="0" applyFont="1" applyFill="1" applyBorder="1" applyAlignment="1">
      <alignment horizontal="left" vertical="center" wrapText="1"/>
    </xf>
    <xf numFmtId="0" fontId="30" fillId="44" borderId="11" xfId="0" applyFont="1" applyFill="1" applyBorder="1" applyAlignment="1">
      <alignment horizontal="left" vertical="center" wrapText="1"/>
    </xf>
    <xf numFmtId="0" fontId="31" fillId="44" borderId="12" xfId="0" applyFont="1" applyFill="1" applyBorder="1" applyAlignment="1">
      <alignment horizontal="left" vertical="center" wrapText="1"/>
    </xf>
    <xf numFmtId="0" fontId="30" fillId="44" borderId="12" xfId="0" applyFont="1" applyFill="1" applyBorder="1" applyAlignment="1">
      <alignment horizontal="left" vertical="center" wrapText="1"/>
    </xf>
    <xf numFmtId="0" fontId="31" fillId="45" borderId="0" xfId="0" applyFont="1" applyFill="1" applyAlignment="1">
      <alignment horizontal="left" vertical="center" wrapText="1"/>
    </xf>
    <xf numFmtId="0" fontId="30" fillId="45" borderId="0" xfId="0" applyFont="1" applyFill="1" applyAlignment="1">
      <alignment horizontal="left" vertical="center" wrapText="1"/>
    </xf>
    <xf numFmtId="0" fontId="31" fillId="45" borderId="11" xfId="0" applyFont="1" applyFill="1" applyBorder="1" applyAlignment="1">
      <alignment horizontal="left" vertical="center" wrapText="1"/>
    </xf>
    <xf numFmtId="0" fontId="30" fillId="45" borderId="11" xfId="0" applyFont="1" applyFill="1" applyBorder="1" applyAlignment="1">
      <alignment horizontal="left" vertical="center" wrapText="1"/>
    </xf>
    <xf numFmtId="164" fontId="1" fillId="36" borderId="0" xfId="0" applyNumberFormat="1" applyFont="1" applyFill="1" applyAlignment="1">
      <alignment horizontal="center" vertical="center"/>
    </xf>
    <xf numFmtId="164" fontId="26" fillId="37" borderId="0" xfId="41" applyNumberFormat="1" applyAlignment="1">
      <alignment horizontal="center" vertical="center"/>
    </xf>
    <xf numFmtId="0" fontId="39" fillId="0" borderId="0" xfId="49" applyFont="1" applyAlignment="1">
      <alignment vertical="top" wrapText="1"/>
    </xf>
    <xf numFmtId="0" fontId="38" fillId="0" borderId="0" xfId="49"/>
    <xf numFmtId="0" fontId="40" fillId="46" borderId="1" xfId="49" applyFont="1" applyFill="1" applyBorder="1" applyAlignment="1">
      <alignment horizontal="center"/>
    </xf>
    <xf numFmtId="0" fontId="38" fillId="0" borderId="1" xfId="49" applyBorder="1" applyAlignment="1">
      <alignment vertical="top" wrapText="1"/>
    </xf>
    <xf numFmtId="0" fontId="38" fillId="47" borderId="1" xfId="49" applyFill="1" applyBorder="1" applyAlignment="1">
      <alignment vertical="top" wrapText="1"/>
    </xf>
    <xf numFmtId="0" fontId="38" fillId="48" borderId="1" xfId="49" applyFill="1" applyBorder="1" applyAlignment="1">
      <alignment vertical="top" wrapText="1"/>
    </xf>
    <xf numFmtId="0" fontId="41" fillId="0" borderId="1" xfId="49" applyFont="1" applyBorder="1" applyAlignment="1">
      <alignment vertical="top" wrapText="1"/>
    </xf>
    <xf numFmtId="0" fontId="25" fillId="12" borderId="0" xfId="50"/>
    <xf numFmtId="0" fontId="43" fillId="0" borderId="0" xfId="49" applyFont="1"/>
    <xf numFmtId="0" fontId="5" fillId="0" borderId="0" xfId="0" applyFont="1"/>
    <xf numFmtId="0" fontId="5" fillId="0" borderId="0" xfId="0" applyFont="1" applyAlignment="1">
      <alignment vertical="center"/>
    </xf>
    <xf numFmtId="0" fontId="27" fillId="0" borderId="0" xfId="0" applyFont="1"/>
    <xf numFmtId="0" fontId="39" fillId="0" borderId="0" xfId="49" applyFont="1" applyAlignment="1">
      <alignment vertical="top" wrapText="1"/>
    </xf>
    <xf numFmtId="0" fontId="38" fillId="0" borderId="0" xfId="49"/>
    <xf numFmtId="0" fontId="42" fillId="49" borderId="0" xfId="49" applyFont="1" applyFill="1" applyAlignment="1">
      <alignment vertical="top" wrapText="1"/>
    </xf>
    <xf numFmtId="43" fontId="26" fillId="37" borderId="0" xfId="41" applyNumberFormat="1" applyAlignment="1"/>
    <xf numFmtId="9" fontId="26" fillId="37" borderId="0" xfId="41" applyNumberFormat="1" applyAlignment="1"/>
    <xf numFmtId="14" fontId="26" fillId="37" borderId="0" xfId="41" applyNumberFormat="1" applyAlignment="1"/>
    <xf numFmtId="165" fontId="4" fillId="36" borderId="0" xfId="42" applyNumberFormat="1" applyAlignment="1"/>
    <xf numFmtId="165" fontId="4" fillId="36" borderId="0" xfId="42" applyNumberFormat="1" applyAlignment="1">
      <alignment vertical="top" wrapText="1"/>
    </xf>
    <xf numFmtId="0" fontId="26" fillId="37" borderId="0" xfId="41" applyNumberFormat="1" applyAlignment="1">
      <alignment vertical="top" wrapText="1"/>
    </xf>
  </cellXfs>
  <cellStyles count="52">
    <cellStyle name="20% - Énfasis1" xfId="18" builtinId="30" hidden="1"/>
    <cellStyle name="20% - Énfasis2" xfId="22" builtinId="34" hidden="1"/>
    <cellStyle name="20% - Énfasis3" xfId="26" builtinId="38" hidden="1"/>
    <cellStyle name="20% - Énfasis4" xfId="30" builtinId="42" hidden="1"/>
    <cellStyle name="20% - Énfasis5" xfId="34" builtinId="46" hidden="1"/>
    <cellStyle name="20% - Énfasis6" xfId="38" builtinId="50" hidden="1"/>
    <cellStyle name="40% - Énfasis1" xfId="19" builtinId="31" hidden="1"/>
    <cellStyle name="40% - Énfasis2" xfId="23" builtinId="35" hidden="1"/>
    <cellStyle name="40% - Énfasis3" xfId="27" builtinId="39" hidden="1"/>
    <cellStyle name="40% - Énfasis4" xfId="31" builtinId="43" hidden="1"/>
    <cellStyle name="40% - Énfasis5" xfId="35" builtinId="47" hidden="1"/>
    <cellStyle name="40% - Énfasis6" xfId="39" builtinId="51" hidden="1"/>
    <cellStyle name="60% - Énfasis1" xfId="20" builtinId="32" hidden="1"/>
    <cellStyle name="60% - Énfasis2" xfId="24" builtinId="36" hidden="1"/>
    <cellStyle name="60% - Énfasis3" xfId="28" builtinId="40" hidden="1"/>
    <cellStyle name="60% - Énfasis4" xfId="32" builtinId="44" hidden="1"/>
    <cellStyle name="60% - Énfasis5" xfId="36" builtinId="48" hidden="1"/>
    <cellStyle name="60% - Énfasis6" xfId="40" builtinId="52" hidden="1"/>
    <cellStyle name="Bueno" xfId="44" builtinId="26" hidden="1"/>
    <cellStyle name="Cáclculo" xfId="42" xr:uid="{8CCFEEE8-9C6B-5C4C-8902-6786E5187974}"/>
    <cellStyle name="Cálculo" xfId="12" builtinId="22" hidden="1"/>
    <cellStyle name="Celda de comprobación" xfId="14" builtinId="23" hidden="1"/>
    <cellStyle name="Celda vinculada" xfId="13" builtinId="24" hidden="1"/>
    <cellStyle name="Dato" xfId="41" xr:uid="{B8FF977B-F390-4240-9E3D-C4E8AAF2B752}"/>
    <cellStyle name="Encabezado 1" xfId="6" builtinId="16" hidden="1"/>
    <cellStyle name="Encabezado 4" xfId="9" builtinId="19" hidden="1"/>
    <cellStyle name="Énfasis1" xfId="17" builtinId="29" hidden="1"/>
    <cellStyle name="Énfasis1" xfId="50" builtinId="29"/>
    <cellStyle name="Énfasis2" xfId="21" builtinId="33" hidden="1"/>
    <cellStyle name="Énfasis3" xfId="25" builtinId="37" hidden="1"/>
    <cellStyle name="Énfasis4" xfId="29" builtinId="41" hidden="1"/>
    <cellStyle name="Énfasis5" xfId="33" builtinId="45" hidden="1"/>
    <cellStyle name="Énfasis6" xfId="37" builtinId="49" hidden="1"/>
    <cellStyle name="Entrada" xfId="10" builtinId="20" hidden="1"/>
    <cellStyle name="Incorrecto" xfId="45" builtinId="27" hidden="1"/>
    <cellStyle name="Millares" xfId="1" builtinId="3" hidden="1"/>
    <cellStyle name="Millares" xfId="47" builtinId="3"/>
    <cellStyle name="Millares [0]" xfId="3" builtinId="6" hidden="1"/>
    <cellStyle name="Millares 2" xfId="51" xr:uid="{112266F0-16F9-F04C-B73B-CC2404AD47CC}"/>
    <cellStyle name="Moneda [0]" xfId="4" builtinId="7" hidden="1"/>
    <cellStyle name="Neutral" xfId="46" builtinId="28" hidden="1"/>
    <cellStyle name="No aplica" xfId="48" xr:uid="{924E9B81-CBD7-AE46-A5D2-FB323350DC8B}"/>
    <cellStyle name="Normal" xfId="0" builtinId="0"/>
    <cellStyle name="Normal 2" xfId="49" xr:uid="{1775F775-4DBA-824A-B436-5876693B3095}"/>
    <cellStyle name="Notas" xfId="15" builtinId="10" hidden="1"/>
    <cellStyle name="Porcentaje" xfId="2" builtinId="5"/>
    <cellStyle name="Referencia" xfId="43" xr:uid="{116AED6D-C992-2440-8C3C-3D941E3A09DF}"/>
    <cellStyle name="Salida" xfId="11" builtinId="21" hidden="1"/>
    <cellStyle name="Título" xfId="5" builtinId="15" hidden="1"/>
    <cellStyle name="Título 2" xfId="7" builtinId="17" hidden="1"/>
    <cellStyle name="Título 3" xfId="8" builtinId="18" hidden="1"/>
    <cellStyle name="Total" xfId="16" builtinId="25" hidden="1"/>
  </cellStyles>
  <dxfs count="57">
    <dxf>
      <numFmt numFmtId="19" formatCode="d/m/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164" formatCode="_-* #,##0.00_-;\-* #,##0.00_-;_-* &quot;-&quot;_-;_-@_-"/>
      <alignment horizontal="center" vertical="center" textRotation="0" wrapText="0" indent="0" justifyLastLine="0" shrinkToFit="0" readingOrder="0"/>
    </dxf>
    <dxf>
      <numFmt numFmtId="164" formatCode="_-* #,##0.00_-;\-* #,##0.00_-;_-* &quot;-&quot;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_-;_-@_-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* #,##0.00_-;\-* #,##0.00_-;_-* &quot;-&quot;_-;_-@_-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19" formatCode="d/m/yy"/>
      <alignment horizontal="center" vertical="center" textRotation="0" wrapText="1" indent="0" justifyLastLine="0" shrinkToFit="0" readingOrder="0"/>
    </dxf>
    <dxf>
      <numFmt numFmtId="19" formatCode="d/m/yy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008080"/>
          <bgColor rgb="FF0070C0"/>
        </patternFill>
      </fill>
      <alignment horizontal="center" vertical="center" textRotation="0" wrapText="1" indent="0" justifyLastLine="0" shrinkToFit="0" readingOrder="0"/>
    </dxf>
    <dxf>
      <numFmt numFmtId="3" formatCode="#,##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008080"/>
          <bgColor rgb="FF0070C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numFmt numFmtId="164" formatCode="_-* #,##0.00_-;\-* #,##0.00_-;_-* &quot;-&quot;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numFmt numFmtId="164" formatCode="_-* #,##0.00_-;\-* #,##0.00_-;_-* &quot;-&quot;_-;_-@_-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19" formatCode="d/m/yy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008080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E2"/>
      <rgbColor rgb="FFE8F4FD"/>
      <rgbColor rgb="FF660066"/>
      <rgbColor rgb="FFFF8080"/>
      <rgbColor rgb="FF0070C0"/>
      <rgbColor rgb="FFEDEB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5E9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82061-47A7-CF4D-BCC3-ACCB0A54F302}" name="T_Prestamos" displayName="T_Prestamos" ref="A7:Q11" totalsRowShown="0" headerRowDxfId="56">
  <autoFilter ref="A7:Q11" xr:uid="{D6982061-47A7-CF4D-BCC3-ACCB0A54F302}"/>
  <tableColumns count="17">
    <tableColumn id="1" xr3:uid="{641D8D61-447C-6641-AB5E-73CCB1A3E849}" name="Ref" dataDxfId="55"/>
    <tableColumn id="2" xr3:uid="{E35DC7D9-5ECA-8540-910A-3C9E80A32E82}" name="Descripción" dataDxfId="54"/>
    <tableColumn id="3" xr3:uid="{851207A6-E12F-FC4B-BA51-F7CEEC328208}" name="Principal" dataDxfId="53"/>
    <tableColumn id="4" xr3:uid="{4FAD7376-BBA0-5441-B438-823012AC1AF6}" name="Fecha inicio" dataDxfId="52"/>
    <tableColumn id="5" xr3:uid="{4867859D-3EFE-8A43-A7CC-CFC87BC393E9}" name="Tipo cálculo" dataDxfId="51"/>
    <tableColumn id="6" xr3:uid="{EBCA3AEE-79CD-9043-B4E4-DBB00F1E235E}" name="% interés" dataDxfId="50"/>
    <tableColumn id="7" xr3:uid="{8265D596-BEFD-A741-A08A-44DD808D05E2}" name="Duración - meses" dataDxfId="49"/>
    <tableColumn id="8" xr3:uid="{AAF398EC-681E-B940-884B-5CDF0FEB510A}" name="% Apertura" dataDxfId="48"/>
    <tableColumn id="9" xr3:uid="{87DC02C5-7066-AB4E-9994-ED935B358C25}" name="Apertura" dataDxfId="47">
      <calculatedColumnFormula>IF($B$3-T_Prestamos[[#This Row],[Fecha inicio]]&lt;=365,H8*T_Prestamos[[#This Row],[Principal]],0)</calculatedColumnFormula>
    </tableColumn>
    <tableColumn id="10" xr3:uid="{BA35E5BB-892C-3B40-901A-C956106AE5C8}" name="Garantía" dataDxfId="46" dataCellStyle="Millares"/>
    <tableColumn id="12" xr3:uid="{939E5B0F-84E9-D843-94BA-6D5AB94BCF49}" name="LTV" dataDxfId="45" dataCellStyle="Porcentaje"/>
    <tableColumn id="13" xr3:uid="{60741A86-BB11-0045-863B-A092CD2DE0BE}" name="Estado final" dataDxfId="44" dataCellStyle="Dato"/>
    <tableColumn id="14" xr3:uid="{9813A11F-0240-B94E-B3D7-351A8E1FE066}" name="Situación final" dataDxfId="43" dataCellStyle="Dato"/>
    <tableColumn id="15" xr3:uid="{DDBF2039-18DB-6D4A-BF6E-FE27FAC22401}" name="Principal final" dataDxfId="42" dataCellStyle="Cáclculo">
      <calculatedColumnFormula>IF(T_Prestamos[[#This Row],[Estado final]]="Cancelado",0,SUMIFS(T_Acciones_Prestamos[Saldo Principal],T_Acciones_Prestamos[Préstamo],T_Prestamos[[#This Row],[Ref]],T_Acciones_Prestamos[Orden],_xlfn.MAXIFS(T_Acciones_Prestamos[Orden],T_Acciones_Prestamos[Préstamo],T_Prestamos[[#This Row],[Ref]])))</calculatedColumnFormula>
    </tableColumn>
    <tableColumn id="16" xr3:uid="{5DB40901-1692-7147-88F6-20B9DEC4B3F8}" name="Cuota 1 año curso" dataDxfId="41" dataCellStyle="Cáclculo">
      <calculatedColumnFormula>DATEDIF(T_Prestamos[[#This Row],[Fecha inicio]],DATE(YEAR($B$3),1,DAY(T_Prestamos[[#This Row],[Fecha inicio]])),"m")</calculatedColumnFormula>
    </tableColumn>
    <tableColumn id="17" xr3:uid="{5FFD43D3-75D9-7145-92D2-96A8E2FAAF05}" name="Ingr. Anuales" dataDxfId="40" dataCellStyle="Cáclculo">
      <calculatedColumnFormula>IF(T_Prestamos[[#This Row],[Estado final]]="Cancelado",0,IF(T_Prestamos[[#This Row],[Tipo cálculo]]="Americano",T_Prestamos[[#This Row],[Principal final]]*T_Prestamos[[#This Row],[% interés]],-CUMIPMT(T_Prestamos[[#This Row],[% interés]]/12,T_Prestamos[[#This Row],[Duración - meses]],T_Prestamos[[#This Row],[Principal]],T_Prestamos[[#This Row],[Cuota 1 año curso]],MIN(T_Prestamos[[#This Row],[Cuota 1 año curso]]+11,T_Prestamos[[#This Row],[Duración - meses]]),0)))</calculatedColumnFormula>
    </tableColumn>
    <tableColumn id="18" xr3:uid="{B0F80871-130D-7048-ABFC-40D6D6264AF3}" name="Meses" dataDxfId="39">
      <calculatedColumnFormula>DATEDIF(T_Prestamos[[#This Row],[Fecha inicio]],$B$3,"m")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9135F6-C264-9E4A-A876-A4EFA5CA18A6}" name="T_CCP" displayName="T_CCP" ref="A15:R18" totalsRowShown="0" headerRowDxfId="38">
  <autoFilter ref="A15:R18" xr:uid="{1E9135F6-C264-9E4A-A876-A4EFA5CA18A6}"/>
  <tableColumns count="18">
    <tableColumn id="1" xr3:uid="{2FF2B3C2-B2DD-6642-B8A7-953EC30996E0}" name="Ref" dataDxfId="37" dataCellStyle="Dato"/>
    <tableColumn id="2" xr3:uid="{828D80FF-C75B-0F49-80A8-36BFF259CA03}" name="Descripción" dataDxfId="36" dataCellStyle="Dato"/>
    <tableColumn id="3" xr3:uid="{6E5D2940-1188-F041-9F72-F8EAD8CDC2B6}" name="Préstamo" dataDxfId="35" dataCellStyle="Dato"/>
    <tableColumn id="4" xr3:uid="{C5E5662B-67C6-E145-823B-BE159B591A6D}" name="% participación" dataDxfId="34" dataCellStyle="Dato"/>
    <tableColumn id="5" xr3:uid="{3680C9A9-B0B8-F243-B5D2-DA152F32DC0C}" name="Participación" dataDxfId="33" dataCellStyle="Cáclculo">
      <calculatedColumnFormula>L16*D16</calculatedColumnFormula>
    </tableColumn>
    <tableColumn id="6" xr3:uid="{75B4A016-1F54-014F-9858-74B67C9B0009}" name="% gestión" dataDxfId="32" dataCellStyle="Dato"/>
    <tableColumn id="7" xr3:uid="{2649786C-89C8-6847-A0C2-430E8823C1F5}" name="Ingresos anuales" dataDxfId="31" dataCellStyle="Cáclculo">
      <calculatedColumnFormula>T_CCP[[#This Row],[Ingr. Anuales prest.]]*T_CCP[[#This Row],[% participación]]</calculatedColumnFormula>
    </tableColumn>
    <tableColumn id="8" xr3:uid="{7BC52623-18E4-ED46-B574-8E48DA700D69}" name="Gestión" dataDxfId="30" dataCellStyle="Cáclculo">
      <calculatedColumnFormula>T_CCP[[#This Row],[Participado final]]*T_CCP[[#This Row],[% gestión]]</calculatedColumnFormula>
    </tableColumn>
    <tableColumn id="16" xr3:uid="{A1964C3E-4A3F-0D40-8DC1-C9F5B90077FD}" name="Garantías part." dataDxfId="29" dataCellStyle="Cáclculo">
      <calculatedColumnFormula>T_CCP[[#This Row],[Garantías prestamo]]*T_CCP[[#This Row],[% participación]]</calculatedColumnFormula>
    </tableColumn>
    <tableColumn id="18" xr3:uid="{3F5D94E0-685D-C546-A475-5717DD81450C}" name="Participado final" dataDxfId="28" dataCellStyle="Cáclculo">
      <calculatedColumnFormula>T_CCP[[#This Row],[Principal final]]*T_CCP[[#This Row],[% participación]]</calculatedColumnFormula>
    </tableColumn>
    <tableColumn id="9" xr3:uid="{5346D4B5-ADED-6540-A6F0-0FADC2AA1579}" name="Aux Tasa" dataDxfId="27" dataCellStyle="Porcentaje">
      <calculatedColumnFormula>VLOOKUP(C16,$A$8:$L$11,$F$5,FALSE)</calculatedColumnFormula>
    </tableColumn>
    <tableColumn id="10" xr3:uid="{9669D734-117F-5E4A-9648-D63F0EF6C2E4}" name="Aux Principal" dataDxfId="26" dataCellStyle="Referencia">
      <calculatedColumnFormula>VLOOKUP(C16,$A$8:$L$11,$C$5,FALSE)</calculatedColumnFormula>
    </tableColumn>
    <tableColumn id="11" xr3:uid="{C07A9080-EB82-764A-B048-C33A00CB2999}" name="Estado final" dataDxfId="25">
      <calculatedColumnFormula>IF(VLOOKUP(C16,T_Prestamos[],$L$5,FALSE)=0,"",VLOOKUP(C16,T_Prestamos[],$L$5,FALSE))</calculatedColumnFormula>
    </tableColumn>
    <tableColumn id="12" xr3:uid="{B836E1A0-F37D-E344-897B-E06FE473C670}" name="Situación final" dataDxfId="24">
      <calculatedColumnFormula>IF(VLOOKUP(C16,T_Prestamos[],$M$5,FALSE)=0,"",VLOOKUP(C16,T_Prestamos[],$M$5,FALSE))</calculatedColumnFormula>
    </tableColumn>
    <tableColumn id="13" xr3:uid="{79873CDF-EB18-5748-9E02-9A57CB1E6B3A}" name="Principal final" dataDxfId="23">
      <calculatedColumnFormula>VLOOKUP(C16,T_Prestamos[],$N$5,FALSE)</calculatedColumnFormula>
    </tableColumn>
    <tableColumn id="14" xr3:uid="{B807E56E-21F3-4642-B5EC-AF905C93DC6F}" name="Ingr. Anuales prest." dataDxfId="22" dataCellStyle="Referencia">
      <calculatedColumnFormula>VLOOKUP(C16,T_Prestamos[],$P$5,FALSE)</calculatedColumnFormula>
    </tableColumn>
    <tableColumn id="15" xr3:uid="{1355E25B-22AC-4740-B1B9-787C481E7754}" name="Garantías prestamo" dataDxfId="21" dataCellStyle="Referencia">
      <calculatedColumnFormula>VLOOKUP(C16,T_Prestamos[],$J$5,FALSE)</calculatedColumnFormula>
    </tableColumn>
    <tableColumn id="17" xr3:uid="{DC60337A-9D8B-FC4D-8280-4F58FC026482}" name="Meses" dataDxfId="20" dataCellStyle="Referencia">
      <calculatedColumnFormula>VLOOKUP(C16,T_Prestamos[],$Q$5,FALSE)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CEA3A-1AB5-7945-821E-8D1382FCBFBC}" name="T_Acciones_Prestamos" displayName="T_Acciones_Prestamos" ref="A21:S27" totalsRowShown="0" headerRowDxfId="19">
  <autoFilter ref="A21:S27" xr:uid="{027CEA3A-1AB5-7945-821E-8D1382FCBFBC}"/>
  <tableColumns count="19">
    <tableColumn id="1" xr3:uid="{92637E1D-E1B0-8145-B6B2-362FDC68A430}" name="Préstamo" dataDxfId="18" dataCellStyle="Dato"/>
    <tableColumn id="18" xr3:uid="{CD82B007-2DF3-F54C-9662-93944C73A584}" name="Descripción" dataDxfId="17" dataCellStyle="Dato"/>
    <tableColumn id="2" xr3:uid="{C4783235-36FE-6C48-83FE-AE8C0110F5DA}" name="Orden" dataDxfId="16" dataCellStyle="Dato">
      <calculatedColumnFormula>IF(A22=A21,C21+1,1)</calculatedColumnFormula>
    </tableColumn>
    <tableColumn id="3" xr3:uid="{BCCE9010-2922-9048-B64A-BAD9CC88FF1C}" name="Cuota_ini" dataDxfId="15" dataCellStyle="Dato"/>
    <tableColumn id="4" xr3:uid="{3308BED9-F919-8D42-90C0-676B468FD32C}" name="Cuota_fin" dataDxfId="14" dataCellStyle="Dato"/>
    <tableColumn id="5" xr3:uid="{55A5ED29-F282-654C-8806-0BB061D8692C}" name="Fecha ini" dataDxfId="13" dataCellStyle="Cáclculo">
      <calculatedColumnFormula>EDATE(S22,D22)</calculatedColumnFormula>
    </tableColumn>
    <tableColumn id="6" xr3:uid="{1CDD32D7-BFC6-D540-8894-191DE4CB8C99}" name="Fecha Fin" dataDxfId="12" dataCellStyle="Cáclculo">
      <calculatedColumnFormula>EDATE(S22,E22)</calculatedColumnFormula>
    </tableColumn>
    <tableColumn id="7" xr3:uid="{FA5FBDF8-32F0-EA4F-B279-E80181AB59EE}" name="Acción" dataDxfId="11" dataCellStyle="Dato"/>
    <tableColumn id="8" xr3:uid="{F95714F0-F67B-8B46-A47B-FE9805AD7228}" name="Intereses" dataDxfId="10">
      <calculatedColumnFormula>ROUND(IF(Q22="Americano",P22*O22/12*(T_Acciones_Prestamos[[#This Row],[Cuota_fin]]-T_Acciones_Prestamos[[#This Row],[Cuota_ini]]+1),-CUMIPMT(O22/12,R22,P22,D22,E22,0)),2)</calculatedColumnFormula>
    </tableColumn>
    <tableColumn id="9" xr3:uid="{ADCD41DD-DDB8-8B4A-8068-D0243DCE79FE}" name="Principal" dataDxfId="9">
      <calculatedColumnFormula>ROUND(IF(Q22="Americano",0,-CUMPRINC(O22/12,R22,P22,D22,E22,0)),2)</calculatedColumnFormula>
    </tableColumn>
    <tableColumn id="10" xr3:uid="{6DE90D27-2474-0440-9B4F-3D7C75EFB1D0}" name="Cancelación_x000a_Judicialización_x000a_Amortización parcial" dataDxfId="8" dataCellStyle="Referencia">
      <calculatedColumnFormula>IF(T_Acciones_Prestamos[[#This Row],[Descripción]]="Cancelación del préstamo",P22,"")</calculatedColumnFormula>
    </tableColumn>
    <tableColumn id="11" xr3:uid="{D9FD0DCD-352E-FD4F-A691-72FF467E1577}" name="Judicialización" dataDxfId="7" dataCellStyle="Dato"/>
    <tableColumn id="12" xr3:uid="{5872BE42-18DC-6848-ADE0-27462914D4B0}" name="Saldo Principal" dataDxfId="6" dataCellStyle="Cáclculo">
      <calculatedColumnFormula>P22-J22-K22</calculatedColumnFormula>
    </tableColumn>
    <tableColumn id="19" xr3:uid="{49941383-46F1-954B-8D0C-32EE27CBD8B6}" name="Ing. Anuales" dataDxfId="5" dataCellStyle="Cáclculo"/>
    <tableColumn id="13" xr3:uid="{4DD5F15F-8DF0-DD4E-8201-0F14DC218BB9}" name="Aux Tasa" dataDxfId="4" dataCellStyle="Porcentaje">
      <calculatedColumnFormula>VLOOKUP(A22,$A$8:$Q$11,$F$5,FALSE)</calculatedColumnFormula>
    </tableColumn>
    <tableColumn id="14" xr3:uid="{2B41E914-31CE-2348-A100-875E2F416940}" name="Aux Principal" dataDxfId="3" dataCellStyle="Dato"/>
    <tableColumn id="15" xr3:uid="{0C2FB86B-CC5C-F84C-A9DF-8A1660AB437C}" name="Aux Tipo" dataDxfId="2" dataCellStyle="Referencia">
      <calculatedColumnFormula>VLOOKUP(A22,$A$8:$Q$11,$E$5,FALSE)</calculatedColumnFormula>
    </tableColumn>
    <tableColumn id="16" xr3:uid="{A3AD0FB4-81B0-D349-8006-60D40AF82400}" name="Aux duración" dataDxfId="1" dataCellStyle="Referencia">
      <calculatedColumnFormula>VLOOKUP(A22,$A$8:$Q$11,$G$5,FALSE)</calculatedColumnFormula>
    </tableColumn>
    <tableColumn id="17" xr3:uid="{63E94B19-0F88-E645-9EAA-4B8D00B771C6}" name="Fecha préstamo" dataDxfId="0" dataCellStyle="Referencia">
      <calculatedColumnFormula>VLOOKUP(A22,$A$8:$Q$11,$D$5,FALSE)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zoomScaleNormal="100" workbookViewId="0">
      <pane ySplit="3" topLeftCell="A4" activePane="bottomLeft" state="frozen"/>
      <selection pane="bottomLeft" activeCell="D44" sqref="D44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24.6640625" customWidth="1"/>
    <col min="4" max="4" width="12" customWidth="1"/>
    <col min="5" max="5" width="10" customWidth="1"/>
    <col min="6" max="6" width="8" customWidth="1"/>
    <col min="7" max="7" width="13" customWidth="1"/>
    <col min="8" max="8" width="9" customWidth="1"/>
    <col min="9" max="9" width="10" customWidth="1"/>
    <col min="10" max="10" width="9" customWidth="1"/>
    <col min="11" max="17" width="14" customWidth="1"/>
    <col min="18" max="18" width="16" customWidth="1"/>
    <col min="19" max="19" width="14" customWidth="1"/>
    <col min="20" max="20" width="38" customWidth="1"/>
  </cols>
  <sheetData>
    <row r="1" spans="1:20" x14ac:dyDescent="0.2">
      <c r="A1" s="137" t="s"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</row>
    <row r="2" spans="1:20" x14ac:dyDescent="0.2">
      <c r="A2" s="137" t="s">
        <v>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</row>
    <row r="3" spans="1:20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288</v>
      </c>
      <c r="M3" s="1" t="s">
        <v>287</v>
      </c>
      <c r="N3" s="1" t="s">
        <v>284</v>
      </c>
      <c r="O3" s="1" t="s">
        <v>285</v>
      </c>
      <c r="P3" s="1" t="s">
        <v>286</v>
      </c>
      <c r="Q3" s="1" t="s">
        <v>13</v>
      </c>
      <c r="R3" s="1" t="s">
        <v>14</v>
      </c>
      <c r="S3" s="1" t="s">
        <v>15</v>
      </c>
      <c r="T3" s="1" t="s">
        <v>16</v>
      </c>
    </row>
    <row r="4" spans="1:20" x14ac:dyDescent="0.2">
      <c r="A4" s="2" t="s">
        <v>17</v>
      </c>
      <c r="B4" s="2" t="s">
        <v>18</v>
      </c>
      <c r="C4" s="2" t="s">
        <v>19</v>
      </c>
      <c r="D4" s="3">
        <v>100000</v>
      </c>
      <c r="E4" s="4">
        <v>0.06</v>
      </c>
      <c r="F4" s="5">
        <v>12</v>
      </c>
      <c r="G4" s="5" t="s">
        <v>20</v>
      </c>
      <c r="H4" s="5">
        <v>15</v>
      </c>
      <c r="I4" s="5">
        <v>0</v>
      </c>
      <c r="J4" s="5">
        <v>1</v>
      </c>
      <c r="K4" s="115">
        <v>45337</v>
      </c>
      <c r="L4" s="115"/>
      <c r="M4" s="115"/>
      <c r="N4" s="115"/>
      <c r="O4" s="115"/>
      <c r="P4" s="115"/>
      <c r="Q4" s="6">
        <f>D4*E4/12</f>
        <v>500</v>
      </c>
      <c r="R4" s="6">
        <f>IF(J4=F4,D4,0)</f>
        <v>0</v>
      </c>
      <c r="S4" s="6">
        <f t="shared" ref="S4:S12" si="0">Q4+R4</f>
        <v>500</v>
      </c>
      <c r="T4" s="2" t="s">
        <v>21</v>
      </c>
    </row>
    <row r="5" spans="1:20" x14ac:dyDescent="0.2">
      <c r="A5" s="7" t="s">
        <v>17</v>
      </c>
      <c r="B5" s="7" t="s">
        <v>22</v>
      </c>
      <c r="C5" s="7" t="s">
        <v>19</v>
      </c>
      <c r="D5" s="8">
        <v>100000</v>
      </c>
      <c r="E5" s="9">
        <v>0.06</v>
      </c>
      <c r="F5" s="10">
        <v>12</v>
      </c>
      <c r="G5" s="10" t="s">
        <v>20</v>
      </c>
      <c r="H5" s="10">
        <v>15</v>
      </c>
      <c r="I5" s="10">
        <v>0</v>
      </c>
      <c r="J5" s="10">
        <v>12</v>
      </c>
      <c r="K5" s="115">
        <v>45672</v>
      </c>
      <c r="L5" s="115"/>
      <c r="M5" s="115"/>
      <c r="N5" s="115"/>
      <c r="O5" s="115"/>
      <c r="P5" s="115"/>
      <c r="Q5" s="11">
        <f>D5*E5/12</f>
        <v>500</v>
      </c>
      <c r="R5" s="11">
        <f>IF(J5=F5,D5,0)</f>
        <v>100000</v>
      </c>
      <c r="S5" s="11">
        <f t="shared" si="0"/>
        <v>100500</v>
      </c>
      <c r="T5" s="7" t="s">
        <v>23</v>
      </c>
    </row>
    <row r="6" spans="1:20" x14ac:dyDescent="0.2">
      <c r="A6" s="2" t="s">
        <v>24</v>
      </c>
      <c r="B6" s="2" t="s">
        <v>25</v>
      </c>
      <c r="C6" s="2" t="s">
        <v>19</v>
      </c>
      <c r="D6" s="3">
        <v>50000</v>
      </c>
      <c r="E6" s="4">
        <v>0.09</v>
      </c>
      <c r="F6" s="5">
        <v>24</v>
      </c>
      <c r="G6" s="5" t="s">
        <v>26</v>
      </c>
      <c r="H6" s="5">
        <v>1</v>
      </c>
      <c r="I6" s="5">
        <v>0</v>
      </c>
      <c r="J6" s="5">
        <v>6</v>
      </c>
      <c r="K6" s="115">
        <v>45536</v>
      </c>
      <c r="L6" s="115"/>
      <c r="M6" s="115"/>
      <c r="N6" s="115"/>
      <c r="O6" s="115"/>
      <c r="P6" s="115"/>
      <c r="Q6" s="6">
        <f>D6*E6/12</f>
        <v>375</v>
      </c>
      <c r="R6" s="6">
        <f>IF(J6=F6,D6,0)</f>
        <v>0</v>
      </c>
      <c r="S6" s="6">
        <f t="shared" si="0"/>
        <v>375</v>
      </c>
      <c r="T6" s="2" t="s">
        <v>21</v>
      </c>
    </row>
    <row r="7" spans="1:20" x14ac:dyDescent="0.2">
      <c r="A7" s="7" t="s">
        <v>27</v>
      </c>
      <c r="B7" s="7" t="s">
        <v>28</v>
      </c>
      <c r="C7" s="7" t="s">
        <v>29</v>
      </c>
      <c r="D7" s="8">
        <v>100000</v>
      </c>
      <c r="E7" s="9">
        <v>0.06</v>
      </c>
      <c r="F7" s="10">
        <v>12</v>
      </c>
      <c r="G7" s="10" t="s">
        <v>20</v>
      </c>
      <c r="H7" s="10">
        <v>15</v>
      </c>
      <c r="I7" s="10">
        <v>0</v>
      </c>
      <c r="J7" s="10">
        <v>1</v>
      </c>
      <c r="K7" s="115">
        <v>45337</v>
      </c>
      <c r="L7" s="115"/>
      <c r="M7" s="115"/>
      <c r="N7" s="115"/>
      <c r="O7" s="115"/>
      <c r="P7" s="115"/>
      <c r="Q7" s="11">
        <f>-CUMIPMT(E7/12,F7,D7,J7,J7,0)</f>
        <v>500</v>
      </c>
      <c r="R7" s="11">
        <f>-CUMPRINC(E7/12,F7,D7,J7,J7,0)</f>
        <v>8106.6429707080642</v>
      </c>
      <c r="S7" s="11">
        <f t="shared" si="0"/>
        <v>8606.6429707080642</v>
      </c>
      <c r="T7" s="7" t="s">
        <v>30</v>
      </c>
    </row>
    <row r="8" spans="1:20" x14ac:dyDescent="0.2">
      <c r="A8" s="2" t="s">
        <v>27</v>
      </c>
      <c r="B8" s="2" t="s">
        <v>31</v>
      </c>
      <c r="C8" s="2" t="s">
        <v>29</v>
      </c>
      <c r="D8" s="3">
        <v>100000</v>
      </c>
      <c r="E8" s="4">
        <v>0.06</v>
      </c>
      <c r="F8" s="5">
        <v>12</v>
      </c>
      <c r="G8" s="5" t="s">
        <v>20</v>
      </c>
      <c r="H8" s="5">
        <v>15</v>
      </c>
      <c r="I8" s="5">
        <v>0</v>
      </c>
      <c r="J8" s="5">
        <v>6</v>
      </c>
      <c r="K8" s="115">
        <v>45488</v>
      </c>
      <c r="L8" s="115"/>
      <c r="M8" s="115"/>
      <c r="N8" s="115"/>
      <c r="O8" s="115"/>
      <c r="P8" s="115"/>
      <c r="Q8" s="6">
        <f>-CUMIPMT(E8/12,F8,D8,J8,J8,0)</f>
        <v>295.29710632731621</v>
      </c>
      <c r="R8" s="6">
        <f>-CUMPRINC(E8/12,F8,D8,J8,J8,0)</f>
        <v>8311.345864380748</v>
      </c>
      <c r="S8" s="6">
        <f t="shared" si="0"/>
        <v>8606.6429707080642</v>
      </c>
      <c r="T8" s="2" t="s">
        <v>32</v>
      </c>
    </row>
    <row r="9" spans="1:20" x14ac:dyDescent="0.2">
      <c r="A9" s="7" t="s">
        <v>27</v>
      </c>
      <c r="B9" s="7" t="s">
        <v>33</v>
      </c>
      <c r="C9" s="7" t="s">
        <v>29</v>
      </c>
      <c r="D9" s="8">
        <v>100000</v>
      </c>
      <c r="E9" s="9">
        <v>0.06</v>
      </c>
      <c r="F9" s="10">
        <v>12</v>
      </c>
      <c r="G9" s="10" t="s">
        <v>20</v>
      </c>
      <c r="H9" s="10">
        <v>15</v>
      </c>
      <c r="I9" s="10">
        <v>0</v>
      </c>
      <c r="J9" s="10">
        <v>12</v>
      </c>
      <c r="K9" s="115">
        <v>45672</v>
      </c>
      <c r="L9" s="115"/>
      <c r="M9" s="115"/>
      <c r="N9" s="115"/>
      <c r="O9" s="115"/>
      <c r="P9" s="115"/>
      <c r="Q9" s="11">
        <f>-CUMIPMT(E9/12,F9,D9,J9,J9,0)</f>
        <v>42.819119257253988</v>
      </c>
      <c r="R9" s="11">
        <f>-CUMPRINC(E9/12,F9,D9,J9,J9,0)</f>
        <v>8563.8238514508103</v>
      </c>
      <c r="S9" s="11">
        <f t="shared" si="0"/>
        <v>8606.6429707080642</v>
      </c>
      <c r="T9" s="7" t="s">
        <v>34</v>
      </c>
    </row>
    <row r="10" spans="1:20" x14ac:dyDescent="0.2">
      <c r="A10" s="2" t="s">
        <v>35</v>
      </c>
      <c r="B10" s="2" t="s">
        <v>36</v>
      </c>
      <c r="C10" s="2" t="s">
        <v>29</v>
      </c>
      <c r="D10" s="3">
        <v>60000</v>
      </c>
      <c r="E10" s="4">
        <v>0.08</v>
      </c>
      <c r="F10" s="5">
        <v>24</v>
      </c>
      <c r="G10" s="5" t="s">
        <v>37</v>
      </c>
      <c r="H10" s="5">
        <v>1</v>
      </c>
      <c r="I10" s="5">
        <v>0</v>
      </c>
      <c r="J10" s="5">
        <v>1</v>
      </c>
      <c r="K10" s="115">
        <v>45474</v>
      </c>
      <c r="L10" s="115"/>
      <c r="M10" s="115"/>
      <c r="N10" s="115"/>
      <c r="O10" s="115"/>
      <c r="P10" s="115"/>
      <c r="Q10" s="6">
        <f>-CUMIPMT(E10/12,F10,D10,J10,J10,0)</f>
        <v>400.00000000000045</v>
      </c>
      <c r="R10" s="6">
        <f>-CUMPRINC(E10/12,F10,D10,J10,J10,0)</f>
        <v>2313.6374873710488</v>
      </c>
      <c r="S10" s="6">
        <f t="shared" si="0"/>
        <v>2713.6374873710492</v>
      </c>
      <c r="T10" s="2" t="s">
        <v>30</v>
      </c>
    </row>
    <row r="11" spans="1:20" x14ac:dyDescent="0.2">
      <c r="A11" s="7" t="s">
        <v>38</v>
      </c>
      <c r="B11" s="7" t="s">
        <v>39</v>
      </c>
      <c r="C11" s="7" t="s">
        <v>40</v>
      </c>
      <c r="D11" s="8">
        <v>80000</v>
      </c>
      <c r="E11" s="9">
        <v>7.0000000000000007E-2</v>
      </c>
      <c r="F11" s="10">
        <v>18</v>
      </c>
      <c r="G11" s="10" t="s">
        <v>41</v>
      </c>
      <c r="H11" s="10">
        <v>1</v>
      </c>
      <c r="I11" s="10">
        <v>6</v>
      </c>
      <c r="J11" s="10">
        <v>1</v>
      </c>
      <c r="K11" s="115">
        <v>45323</v>
      </c>
      <c r="L11" s="115"/>
      <c r="M11" s="115"/>
      <c r="N11" s="115"/>
      <c r="O11" s="115"/>
      <c r="P11" s="115"/>
      <c r="Q11" s="6">
        <f>IF(J11&lt;=I11,D11*E11/12,-ROUND(CUMIPMT(E11/12,F11-I11,D11,J11-I11,J11-I11,0),2))</f>
        <v>466.66666666666674</v>
      </c>
      <c r="R11" s="6">
        <f>IF(J11&lt;=I11,0,-ROUND(CUMPRINC(E11/12,F11-I11,D11,J11-I11,J11-I11,0),2))</f>
        <v>0</v>
      </c>
      <c r="S11" s="11">
        <f t="shared" si="0"/>
        <v>466.66666666666674</v>
      </c>
      <c r="T11" s="7" t="s">
        <v>42</v>
      </c>
    </row>
    <row r="12" spans="1:20" x14ac:dyDescent="0.2">
      <c r="A12" s="2" t="s">
        <v>38</v>
      </c>
      <c r="B12" s="2" t="s">
        <v>43</v>
      </c>
      <c r="C12" s="2" t="s">
        <v>40</v>
      </c>
      <c r="D12" s="3">
        <v>80000</v>
      </c>
      <c r="E12" s="4">
        <v>7.0000000000000007E-2</v>
      </c>
      <c r="F12" s="5">
        <v>18</v>
      </c>
      <c r="G12" s="5" t="s">
        <v>41</v>
      </c>
      <c r="H12" s="5">
        <v>1</v>
      </c>
      <c r="I12" s="5">
        <v>6</v>
      </c>
      <c r="J12" s="5">
        <v>7</v>
      </c>
      <c r="K12" s="115">
        <v>45505</v>
      </c>
      <c r="L12" s="115"/>
      <c r="M12" s="115"/>
      <c r="N12" s="115"/>
      <c r="O12" s="115"/>
      <c r="P12" s="115"/>
      <c r="Q12" s="6">
        <f>IF(J12&lt;=I12,D12*E12/12,-ROUND(CUMIPMT(E12/12,F12-I12,D12,J12-I12,J12-I12,0),2))</f>
        <v>466.67</v>
      </c>
      <c r="R12" s="6">
        <f>IF(J12&lt;=I12,0,-ROUND(CUMPRINC(E12/12,F12-I12,D12,J12-I12,J12-I12,0),2))</f>
        <v>6455.47</v>
      </c>
      <c r="S12" s="6">
        <f t="shared" si="0"/>
        <v>6922.14</v>
      </c>
      <c r="T12" s="2" t="s">
        <v>44</v>
      </c>
    </row>
    <row r="14" spans="1:20" x14ac:dyDescent="0.2">
      <c r="A14" t="s">
        <v>182</v>
      </c>
    </row>
    <row r="15" spans="1:20" x14ac:dyDescent="0.2">
      <c r="A15" t="s">
        <v>183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zoomScaleNormal="100" workbookViewId="0">
      <pane ySplit="3" topLeftCell="A4" activePane="bottomLeft" state="frozen"/>
      <selection pane="bottomLeft" activeCell="D26" sqref="D26"/>
    </sheetView>
  </sheetViews>
  <sheetFormatPr baseColWidth="10" defaultColWidth="8.6640625" defaultRowHeight="15" x14ac:dyDescent="0.2"/>
  <cols>
    <col min="1" max="1" width="8" style="103" customWidth="1"/>
    <col min="2" max="2" width="32" style="103" customWidth="1"/>
    <col min="3" max="3" width="14" style="103" customWidth="1"/>
    <col min="4" max="4" width="12" style="103" customWidth="1"/>
    <col min="5" max="5" width="10" style="103" customWidth="1"/>
    <col min="6" max="6" width="8" style="103" customWidth="1"/>
    <col min="7" max="7" width="13" style="103" customWidth="1"/>
    <col min="8" max="10" width="28" style="103" customWidth="1"/>
    <col min="11" max="11" width="20" style="103" customWidth="1"/>
    <col min="12" max="12" width="36" style="103" customWidth="1"/>
    <col min="13" max="13" width="12" style="103" customWidth="1"/>
    <col min="14" max="14" width="30" style="103" customWidth="1"/>
    <col min="15" max="16384" width="8.6640625" style="103"/>
  </cols>
  <sheetData>
    <row r="1" spans="1:14" x14ac:dyDescent="0.2">
      <c r="A1" s="138" t="s">
        <v>45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 x14ac:dyDescent="0.2">
      <c r="A2" s="138" t="s">
        <v>46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4" ht="30" customHeight="1" x14ac:dyDescent="0.2">
      <c r="A3" s="104" t="s">
        <v>2</v>
      </c>
      <c r="B3" s="104" t="s">
        <v>3</v>
      </c>
      <c r="C3" s="104" t="s">
        <v>47</v>
      </c>
      <c r="D3" s="104" t="s">
        <v>5</v>
      </c>
      <c r="E3" s="104" t="s">
        <v>6</v>
      </c>
      <c r="F3" s="104" t="s">
        <v>7</v>
      </c>
      <c r="G3" s="104" t="s">
        <v>8</v>
      </c>
      <c r="H3" s="104" t="s">
        <v>48</v>
      </c>
      <c r="I3" s="104" t="s">
        <v>282</v>
      </c>
      <c r="J3" s="104" t="s">
        <v>283</v>
      </c>
      <c r="K3" s="104" t="s">
        <v>49</v>
      </c>
      <c r="L3" s="104" t="s">
        <v>50</v>
      </c>
      <c r="M3" s="104" t="s">
        <v>51</v>
      </c>
      <c r="N3" s="104" t="s">
        <v>16</v>
      </c>
    </row>
    <row r="4" spans="1:14" x14ac:dyDescent="0.2">
      <c r="A4" s="105" t="s">
        <v>52</v>
      </c>
      <c r="B4" s="105" t="s">
        <v>53</v>
      </c>
      <c r="C4" s="105" t="s">
        <v>19</v>
      </c>
      <c r="D4" s="106">
        <v>100000</v>
      </c>
      <c r="E4" s="107">
        <v>0.06</v>
      </c>
      <c r="F4" s="108">
        <v>12</v>
      </c>
      <c r="G4" s="108" t="s">
        <v>20</v>
      </c>
      <c r="H4" s="105" t="s">
        <v>54</v>
      </c>
      <c r="I4" s="105"/>
      <c r="J4" s="105"/>
      <c r="K4" s="109">
        <f>D4</f>
        <v>100000</v>
      </c>
      <c r="L4" s="105" t="s">
        <v>55</v>
      </c>
      <c r="M4" s="106">
        <v>0.01</v>
      </c>
      <c r="N4" s="105"/>
    </row>
    <row r="5" spans="1:14" x14ac:dyDescent="0.2">
      <c r="A5" s="110" t="s">
        <v>56</v>
      </c>
      <c r="B5" s="110" t="s">
        <v>57</v>
      </c>
      <c r="C5" s="110" t="s">
        <v>19</v>
      </c>
      <c r="D5" s="111">
        <v>100000</v>
      </c>
      <c r="E5" s="112">
        <v>0.06</v>
      </c>
      <c r="F5" s="113">
        <v>12</v>
      </c>
      <c r="G5" s="113" t="s">
        <v>20</v>
      </c>
      <c r="H5" s="110" t="s">
        <v>58</v>
      </c>
      <c r="I5" s="110"/>
      <c r="J5" s="110"/>
      <c r="K5" s="114">
        <f>D5-20000</f>
        <v>80000</v>
      </c>
      <c r="L5" s="110" t="s">
        <v>59</v>
      </c>
      <c r="M5" s="111">
        <v>0.01</v>
      </c>
      <c r="N5" s="110"/>
    </row>
    <row r="6" spans="1:14" x14ac:dyDescent="0.2">
      <c r="A6" s="105" t="s">
        <v>60</v>
      </c>
      <c r="B6" s="105" t="s">
        <v>61</v>
      </c>
      <c r="C6" s="105" t="s">
        <v>19</v>
      </c>
      <c r="D6" s="106">
        <v>100000</v>
      </c>
      <c r="E6" s="107">
        <v>0.06</v>
      </c>
      <c r="F6" s="108">
        <v>12</v>
      </c>
      <c r="G6" s="108" t="s">
        <v>20</v>
      </c>
      <c r="H6" s="105" t="s">
        <v>62</v>
      </c>
      <c r="I6" s="105"/>
      <c r="J6" s="105"/>
      <c r="K6" s="109">
        <f>D6-20000-10000</f>
        <v>70000</v>
      </c>
      <c r="L6" s="105" t="s">
        <v>63</v>
      </c>
      <c r="M6" s="106">
        <v>0.01</v>
      </c>
      <c r="N6" s="105"/>
    </row>
    <row r="7" spans="1:14" x14ac:dyDescent="0.2">
      <c r="A7" s="110" t="s">
        <v>64</v>
      </c>
      <c r="B7" s="110" t="s">
        <v>65</v>
      </c>
      <c r="C7" s="110" t="s">
        <v>29</v>
      </c>
      <c r="D7" s="111">
        <v>100000</v>
      </c>
      <c r="E7" s="112">
        <v>0.06</v>
      </c>
      <c r="F7" s="113">
        <v>12</v>
      </c>
      <c r="G7" s="113" t="s">
        <v>20</v>
      </c>
      <c r="H7" s="110" t="s">
        <v>54</v>
      </c>
      <c r="I7" s="110"/>
      <c r="J7" s="110"/>
      <c r="K7" s="114">
        <f>D7</f>
        <v>100000</v>
      </c>
      <c r="L7" s="110" t="s">
        <v>66</v>
      </c>
      <c r="M7" s="111">
        <v>0.01</v>
      </c>
      <c r="N7" s="110"/>
    </row>
    <row r="8" spans="1:14" ht="28" x14ac:dyDescent="0.2">
      <c r="A8" s="105" t="s">
        <v>67</v>
      </c>
      <c r="B8" s="105" t="s">
        <v>68</v>
      </c>
      <c r="C8" s="105" t="s">
        <v>29</v>
      </c>
      <c r="D8" s="106">
        <v>100000</v>
      </c>
      <c r="E8" s="107">
        <v>0.06</v>
      </c>
      <c r="F8" s="108">
        <v>12</v>
      </c>
      <c r="G8" s="108" t="s">
        <v>20</v>
      </c>
      <c r="H8" s="105" t="s">
        <v>69</v>
      </c>
      <c r="I8" s="105"/>
      <c r="J8" s="105"/>
      <c r="K8" s="109">
        <f>D8+ROUND(CUMPRINC(E8/12,F8,D8,1,3,0),2)</f>
        <v>75558.27</v>
      </c>
      <c r="L8" s="105" t="s">
        <v>70</v>
      </c>
      <c r="M8" s="106">
        <v>0.1</v>
      </c>
      <c r="N8" s="105" t="s">
        <v>71</v>
      </c>
    </row>
    <row r="9" spans="1:14" x14ac:dyDescent="0.2">
      <c r="A9" s="110" t="s">
        <v>72</v>
      </c>
      <c r="B9" s="110" t="s">
        <v>73</v>
      </c>
      <c r="C9" s="110" t="s">
        <v>29</v>
      </c>
      <c r="D9" s="111">
        <v>100000</v>
      </c>
      <c r="E9" s="112">
        <v>0.06</v>
      </c>
      <c r="F9" s="113">
        <v>12</v>
      </c>
      <c r="G9" s="113" t="s">
        <v>20</v>
      </c>
      <c r="H9" s="110" t="s">
        <v>74</v>
      </c>
      <c r="I9" s="110"/>
      <c r="J9" s="110"/>
      <c r="K9" s="114">
        <f>D9+ROUND(CUMPRINC(E9/12,F9,D9,1,12,0),2)</f>
        <v>0</v>
      </c>
      <c r="L9" s="110" t="s">
        <v>75</v>
      </c>
      <c r="M9" s="111">
        <v>0.1</v>
      </c>
      <c r="N9" s="110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zoomScaleNormal="100" workbookViewId="0">
      <pane ySplit="3" topLeftCell="A4" activePane="bottomLeft" state="frozen"/>
      <selection pane="bottomLeft" activeCell="J9" sqref="J9"/>
    </sheetView>
  </sheetViews>
  <sheetFormatPr baseColWidth="10" defaultColWidth="8.6640625" defaultRowHeight="15" x14ac:dyDescent="0.2"/>
  <cols>
    <col min="1" max="1" width="8" customWidth="1"/>
    <col min="2" max="2" width="32" customWidth="1"/>
    <col min="3" max="3" width="14" customWidth="1"/>
    <col min="4" max="4" width="12" customWidth="1"/>
    <col min="5" max="5" width="10" customWidth="1"/>
    <col min="6" max="6" width="8" customWidth="1"/>
    <col min="7" max="7" width="13" customWidth="1"/>
    <col min="8" max="8" width="14" customWidth="1"/>
    <col min="9" max="9" width="28" customWidth="1"/>
    <col min="10" max="10" width="16" customWidth="1"/>
    <col min="11" max="11" width="40" customWidth="1"/>
  </cols>
  <sheetData>
    <row r="1" spans="1:11" x14ac:dyDescent="0.2">
      <c r="A1" s="137" t="s">
        <v>76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2" spans="1:11" x14ac:dyDescent="0.2">
      <c r="A2" s="137" t="s">
        <v>77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</row>
    <row r="3" spans="1:11" ht="30" customHeight="1" x14ac:dyDescent="0.2">
      <c r="A3" s="1" t="s">
        <v>2</v>
      </c>
      <c r="B3" s="1" t="s">
        <v>3</v>
      </c>
      <c r="C3" s="1" t="s">
        <v>47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78</v>
      </c>
      <c r="I3" s="1" t="s">
        <v>79</v>
      </c>
      <c r="J3" s="1" t="s">
        <v>80</v>
      </c>
      <c r="K3" s="1" t="s">
        <v>16</v>
      </c>
    </row>
    <row r="4" spans="1:11" x14ac:dyDescent="0.2">
      <c r="A4" s="2" t="s">
        <v>81</v>
      </c>
      <c r="B4" s="2" t="s">
        <v>82</v>
      </c>
      <c r="C4" s="2" t="s">
        <v>19</v>
      </c>
      <c r="D4" s="3">
        <v>50000</v>
      </c>
      <c r="E4" s="4">
        <v>0.06</v>
      </c>
      <c r="F4" s="5">
        <v>12</v>
      </c>
      <c r="G4" s="5" t="s">
        <v>41</v>
      </c>
      <c r="H4" s="2" t="s">
        <v>83</v>
      </c>
      <c r="I4" s="2" t="s">
        <v>54</v>
      </c>
      <c r="J4" s="12" t="s">
        <v>84</v>
      </c>
      <c r="K4" s="2" t="s">
        <v>85</v>
      </c>
    </row>
    <row r="5" spans="1:11" x14ac:dyDescent="0.2">
      <c r="A5" s="7" t="s">
        <v>86</v>
      </c>
      <c r="B5" s="7" t="s">
        <v>87</v>
      </c>
      <c r="C5" s="7" t="s">
        <v>19</v>
      </c>
      <c r="D5" s="8">
        <v>50000</v>
      </c>
      <c r="E5" s="9">
        <v>0.06</v>
      </c>
      <c r="F5" s="10">
        <v>12</v>
      </c>
      <c r="G5" s="10" t="s">
        <v>41</v>
      </c>
      <c r="H5" s="7" t="s">
        <v>88</v>
      </c>
      <c r="I5" s="7" t="s">
        <v>54</v>
      </c>
      <c r="J5" s="12" t="s">
        <v>84</v>
      </c>
      <c r="K5" s="7" t="s">
        <v>89</v>
      </c>
    </row>
    <row r="6" spans="1:11" x14ac:dyDescent="0.2">
      <c r="A6" s="2" t="s">
        <v>90</v>
      </c>
      <c r="B6" s="2" t="s">
        <v>91</v>
      </c>
      <c r="C6" s="2" t="s">
        <v>19</v>
      </c>
      <c r="D6" s="3">
        <v>50000</v>
      </c>
      <c r="E6" s="4">
        <v>0.06</v>
      </c>
      <c r="F6" s="5">
        <v>12</v>
      </c>
      <c r="G6" s="5" t="s">
        <v>92</v>
      </c>
      <c r="H6" s="2" t="s">
        <v>93</v>
      </c>
      <c r="I6" s="2" t="s">
        <v>54</v>
      </c>
      <c r="J6" s="13" t="s">
        <v>94</v>
      </c>
      <c r="K6" s="2" t="s">
        <v>95</v>
      </c>
    </row>
    <row r="7" spans="1:11" x14ac:dyDescent="0.2">
      <c r="A7" s="7" t="s">
        <v>96</v>
      </c>
      <c r="B7" s="7" t="s">
        <v>97</v>
      </c>
      <c r="C7" s="7" t="s">
        <v>19</v>
      </c>
      <c r="D7" s="8">
        <v>100000</v>
      </c>
      <c r="E7" s="9">
        <v>0.06</v>
      </c>
      <c r="F7" s="10">
        <v>12</v>
      </c>
      <c r="G7" s="10" t="s">
        <v>20</v>
      </c>
      <c r="H7" s="7" t="s">
        <v>93</v>
      </c>
      <c r="I7" s="7" t="s">
        <v>98</v>
      </c>
      <c r="J7" s="13" t="s">
        <v>94</v>
      </c>
      <c r="K7" s="7" t="s">
        <v>99</v>
      </c>
    </row>
    <row r="8" spans="1:11" x14ac:dyDescent="0.2">
      <c r="A8" s="2" t="s">
        <v>100</v>
      </c>
      <c r="B8" s="2" t="s">
        <v>101</v>
      </c>
      <c r="C8" s="2" t="s">
        <v>19</v>
      </c>
      <c r="D8" s="3">
        <v>50000</v>
      </c>
      <c r="E8" s="4">
        <v>0.06</v>
      </c>
      <c r="F8" s="5">
        <v>24</v>
      </c>
      <c r="G8" s="5" t="s">
        <v>102</v>
      </c>
      <c r="H8" s="2" t="s">
        <v>93</v>
      </c>
      <c r="I8" s="2" t="s">
        <v>54</v>
      </c>
      <c r="J8" s="14" t="s">
        <v>103</v>
      </c>
      <c r="K8" s="2" t="s">
        <v>104</v>
      </c>
    </row>
    <row r="9" spans="1:11" x14ac:dyDescent="0.2">
      <c r="A9" s="7" t="s">
        <v>105</v>
      </c>
      <c r="B9" s="7" t="s">
        <v>106</v>
      </c>
      <c r="C9" s="7" t="s">
        <v>19</v>
      </c>
      <c r="D9" s="8">
        <v>100000</v>
      </c>
      <c r="E9" s="9">
        <v>0.06</v>
      </c>
      <c r="F9" s="10">
        <v>12</v>
      </c>
      <c r="G9" s="10" t="s">
        <v>20</v>
      </c>
      <c r="H9" s="7" t="s">
        <v>93</v>
      </c>
      <c r="I9" s="7" t="s">
        <v>107</v>
      </c>
      <c r="J9" s="14" t="s">
        <v>103</v>
      </c>
      <c r="K9" s="7" t="s">
        <v>108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0"/>
  <sheetViews>
    <sheetView showGridLines="0" topLeftCell="D1" zoomScale="90" zoomScaleNormal="90" workbookViewId="0">
      <pane ySplit="1" topLeftCell="A2" activePane="bottomLeft" state="frozen"/>
      <selection pane="bottomLeft" activeCell="Q8" sqref="Q8"/>
    </sheetView>
  </sheetViews>
  <sheetFormatPr baseColWidth="10" defaultColWidth="24.5" defaultRowHeight="16" x14ac:dyDescent="0.2"/>
  <cols>
    <col min="1" max="1" width="24.5" style="19"/>
    <col min="2" max="2" width="42" style="19" customWidth="1"/>
    <col min="3" max="3" width="23.1640625" style="99" customWidth="1"/>
    <col min="4" max="4" width="24.5" style="19"/>
    <col min="5" max="5" width="20.6640625" style="19" customWidth="1"/>
    <col min="6" max="6" width="18.83203125" style="19" customWidth="1"/>
    <col min="7" max="7" width="22.33203125" style="19" customWidth="1"/>
    <col min="8" max="8" width="22.1640625" style="19" customWidth="1"/>
    <col min="9" max="9" width="20.6640625" style="19" customWidth="1"/>
    <col min="10" max="10" width="20.1640625" style="19" customWidth="1"/>
    <col min="11" max="11" width="21.33203125" style="19" customWidth="1"/>
    <col min="12" max="12" width="20.33203125" style="19" customWidth="1"/>
    <col min="13" max="13" width="20.1640625" style="19" customWidth="1"/>
    <col min="14" max="14" width="19.5" style="19" customWidth="1"/>
    <col min="15" max="15" width="19.1640625" style="19" customWidth="1"/>
    <col min="16" max="16" width="20.5" style="19" customWidth="1"/>
    <col min="17" max="17" width="21.5" style="19" customWidth="1"/>
    <col min="18" max="18" width="16.33203125" style="19" customWidth="1"/>
    <col min="19" max="19" width="20.33203125" style="19" customWidth="1"/>
    <col min="20" max="16384" width="24.5" style="19"/>
  </cols>
  <sheetData>
    <row r="1" spans="1:18" x14ac:dyDescent="0.2">
      <c r="A1" s="139" t="s">
        <v>205</v>
      </c>
      <c r="B1" s="139"/>
      <c r="C1" s="139"/>
      <c r="D1" s="139"/>
      <c r="E1" s="139"/>
      <c r="F1" s="139"/>
    </row>
    <row r="2" spans="1:18" x14ac:dyDescent="0.2">
      <c r="A2" s="18"/>
      <c r="B2" s="18"/>
      <c r="C2" s="94"/>
      <c r="D2" s="18"/>
      <c r="E2" s="18"/>
      <c r="F2" s="18"/>
    </row>
    <row r="3" spans="1:18" s="22" customFormat="1" ht="34" x14ac:dyDescent="0.2">
      <c r="A3" s="36" t="s">
        <v>214</v>
      </c>
      <c r="B3" s="35">
        <v>46101</v>
      </c>
      <c r="C3" s="95"/>
      <c r="D3" s="37"/>
      <c r="E3" s="37"/>
      <c r="F3" s="37"/>
    </row>
    <row r="4" spans="1:18" x14ac:dyDescent="0.2">
      <c r="A4" s="18"/>
      <c r="B4" s="18"/>
      <c r="C4" s="94"/>
      <c r="D4" s="18"/>
      <c r="E4" s="18"/>
      <c r="F4" s="18"/>
    </row>
    <row r="5" spans="1:18" x14ac:dyDescent="0.2">
      <c r="A5" s="18">
        <f>COLUMN()</f>
        <v>1</v>
      </c>
      <c r="B5" s="18">
        <f>COLUMN()</f>
        <v>2</v>
      </c>
      <c r="C5" s="94">
        <f>COLUMN()</f>
        <v>3</v>
      </c>
      <c r="D5" s="18">
        <f>COLUMN()</f>
        <v>4</v>
      </c>
      <c r="E5" s="18">
        <f>COLUMN()</f>
        <v>5</v>
      </c>
      <c r="F5" s="18">
        <f>COLUMN()</f>
        <v>6</v>
      </c>
      <c r="G5" s="18">
        <f>COLUMN()</f>
        <v>7</v>
      </c>
      <c r="H5" s="18">
        <f>COLUMN()</f>
        <v>8</v>
      </c>
      <c r="I5" s="18">
        <f>COLUMN()</f>
        <v>9</v>
      </c>
      <c r="J5" s="18">
        <f>COLUMN()</f>
        <v>10</v>
      </c>
      <c r="K5" s="18">
        <f>COLUMN()</f>
        <v>11</v>
      </c>
      <c r="L5" s="18">
        <f>COLUMN()</f>
        <v>12</v>
      </c>
      <c r="M5" s="18">
        <f>COLUMN()</f>
        <v>13</v>
      </c>
      <c r="N5" s="18">
        <f>COLUMN()</f>
        <v>14</v>
      </c>
      <c r="O5" s="18">
        <f>COLUMN()</f>
        <v>15</v>
      </c>
      <c r="P5" s="18">
        <f>COLUMN()</f>
        <v>16</v>
      </c>
      <c r="Q5" s="18">
        <f>COLUMN()</f>
        <v>17</v>
      </c>
    </row>
    <row r="6" spans="1:18" x14ac:dyDescent="0.2">
      <c r="A6" s="80" t="s">
        <v>207</v>
      </c>
      <c r="B6" s="80"/>
      <c r="C6" s="96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</row>
    <row r="7" spans="1:18" ht="17" x14ac:dyDescent="0.2">
      <c r="A7" s="36" t="s">
        <v>109</v>
      </c>
      <c r="B7" s="20" t="s">
        <v>3</v>
      </c>
      <c r="C7" s="36" t="s">
        <v>186</v>
      </c>
      <c r="D7" s="36" t="s">
        <v>8</v>
      </c>
      <c r="E7" s="36" t="s">
        <v>213</v>
      </c>
      <c r="F7" s="36" t="s">
        <v>190</v>
      </c>
      <c r="G7" s="36" t="s">
        <v>191</v>
      </c>
      <c r="H7" s="36" t="s">
        <v>201</v>
      </c>
      <c r="I7" s="36" t="s">
        <v>202</v>
      </c>
      <c r="J7" s="36" t="s">
        <v>187</v>
      </c>
      <c r="K7" s="36" t="s">
        <v>144</v>
      </c>
      <c r="L7" s="36" t="s">
        <v>230</v>
      </c>
      <c r="M7" s="36" t="s">
        <v>232</v>
      </c>
      <c r="N7" s="36" t="s">
        <v>247</v>
      </c>
      <c r="O7" s="101" t="s">
        <v>258</v>
      </c>
      <c r="P7" s="36" t="s">
        <v>257</v>
      </c>
      <c r="Q7" s="36" t="s">
        <v>7</v>
      </c>
    </row>
    <row r="8" spans="1:18" s="22" customFormat="1" ht="17" x14ac:dyDescent="0.2">
      <c r="A8" s="42" t="s">
        <v>206</v>
      </c>
      <c r="B8" s="21" t="s">
        <v>110</v>
      </c>
      <c r="C8" s="38">
        <v>100000</v>
      </c>
      <c r="D8" s="43">
        <v>45458</v>
      </c>
      <c r="E8" s="38" t="s">
        <v>19</v>
      </c>
      <c r="F8" s="44">
        <v>0.06</v>
      </c>
      <c r="G8" s="102">
        <v>36</v>
      </c>
      <c r="H8" s="44">
        <v>0.02</v>
      </c>
      <c r="I8" s="45">
        <f>IF($B$3-T_Prestamos[[#This Row],[Fecha inicio]]&lt;=365,H8*T_Prestamos[[#This Row],[Principal]],0)</f>
        <v>0</v>
      </c>
      <c r="J8" s="83">
        <v>200000</v>
      </c>
      <c r="K8" s="84">
        <f>C8/J8</f>
        <v>0.5</v>
      </c>
      <c r="L8" s="39" t="s">
        <v>231</v>
      </c>
      <c r="M8" s="40"/>
      <c r="N8" s="81">
        <f>IF(T_Prestamos[[#This Row],[Estado final]]="Cancelado",0,SUMIFS(T_Acciones_Prestamos[Saldo Principal],T_Acciones_Prestamos[Préstamo],T_Prestamos[[#This Row],[Ref]],T_Acciones_Prestamos[Orden],_xlfn.MAXIFS(T_Acciones_Prestamos[Orden],T_Acciones_Prestamos[Préstamo],T_Prestamos[[#This Row],[Ref]])))</f>
        <v>0</v>
      </c>
      <c r="O8" s="22">
        <f>DATEDIF(T_Prestamos[[#This Row],[Fecha inicio]],DATE(YEAR($B$3),1,DAY(T_Prestamos[[#This Row],[Fecha inicio]])),"m")</f>
        <v>19</v>
      </c>
      <c r="P8" s="81">
        <f>IF(T_Prestamos[[#This Row],[Estado final]]="Cancelado",0,IF(T_Prestamos[[#This Row],[Tipo cálculo]]="Americano",T_Prestamos[[#This Row],[Principal final]]*T_Prestamos[[#This Row],[% interés]],-CUMIPMT(T_Prestamos[[#This Row],[% interés]]/12,T_Prestamos[[#This Row],[Duración - meses]],T_Prestamos[[#This Row],[Principal]],T_Prestamos[[#This Row],[Cuota 1 año curso]],MIN(T_Prestamos[[#This Row],[Cuota 1 año curso]]+11,T_Prestamos[[#This Row],[Duración - meses]]),0)))</f>
        <v>0</v>
      </c>
      <c r="Q8" s="19">
        <f>DATEDIF(T_Prestamos[[#This Row],[Fecha inicio]],$B$3,"m")</f>
        <v>21</v>
      </c>
    </row>
    <row r="9" spans="1:18" s="22" customFormat="1" ht="34" x14ac:dyDescent="0.2">
      <c r="A9" s="42" t="s">
        <v>210</v>
      </c>
      <c r="B9" s="21" t="s">
        <v>111</v>
      </c>
      <c r="C9" s="38">
        <v>60000</v>
      </c>
      <c r="D9" s="43">
        <v>45889</v>
      </c>
      <c r="E9" s="38" t="s">
        <v>29</v>
      </c>
      <c r="F9" s="46">
        <v>0.08</v>
      </c>
      <c r="G9" s="102">
        <v>48</v>
      </c>
      <c r="H9" s="44">
        <v>0.02</v>
      </c>
      <c r="I9" s="45">
        <f>IF($B$3-T_Prestamos[[#This Row],[Fecha inicio]]&lt;=365,H9*T_Prestamos[[#This Row],[Principal]],0)</f>
        <v>1200</v>
      </c>
      <c r="J9" s="83">
        <v>200000</v>
      </c>
      <c r="K9" s="84">
        <f>C9/J9</f>
        <v>0.3</v>
      </c>
      <c r="L9" s="39" t="s">
        <v>233</v>
      </c>
      <c r="M9" s="39" t="s">
        <v>234</v>
      </c>
      <c r="N9" s="81">
        <f>IF(T_Prestamos[[#This Row],[Estado final]]="Cancelado",0,SUMIFS(T_Acciones_Prestamos[Saldo Principal],T_Acciones_Prestamos[Préstamo],T_Prestamos[[#This Row],[Ref]],T_Acciones_Prestamos[Orden],_xlfn.MAXIFS(T_Acciones_Prestamos[Orden],T_Acciones_Prestamos[Préstamo],T_Prestamos[[#This Row],[Ref]])))</f>
        <v>56784.33</v>
      </c>
      <c r="O9" s="22">
        <f>DATEDIF(T_Prestamos[[#This Row],[Fecha inicio]],DATE(YEAR($B$3),1,DAY(T_Prestamos[[#This Row],[Fecha inicio]])),"m")</f>
        <v>5</v>
      </c>
      <c r="P9" s="81">
        <f>IF(T_Prestamos[[#This Row],[Estado final]]="Cancelado",0,IF(T_Prestamos[[#This Row],[Tipo cálculo]]="Americano",T_Prestamos[[#This Row],[Principal final]]*T_Prestamos[[#This Row],[% interés]],-CUMIPMT(T_Prestamos[[#This Row],[% interés]]/12,T_Prestamos[[#This Row],[Duración - meses]],T_Prestamos[[#This Row],[Principal]],T_Prestamos[[#This Row],[Cuota 1 año curso]],MIN(T_Prestamos[[#This Row],[Cuota 1 año curso]]+11,T_Prestamos[[#This Row],[Duración - meses]]),0)))</f>
        <v>3963.8757846049866</v>
      </c>
      <c r="Q9" s="19">
        <f>DATEDIF(T_Prestamos[[#This Row],[Fecha inicio]],$B$3,"m")</f>
        <v>7</v>
      </c>
    </row>
    <row r="10" spans="1:18" s="22" customFormat="1" ht="17" x14ac:dyDescent="0.2">
      <c r="A10" s="42" t="s">
        <v>140</v>
      </c>
      <c r="B10" s="21" t="s">
        <v>112</v>
      </c>
      <c r="C10" s="38">
        <v>80000</v>
      </c>
      <c r="D10" s="43">
        <v>45540</v>
      </c>
      <c r="E10" s="38" t="s">
        <v>19</v>
      </c>
      <c r="F10" s="44">
        <v>0.09</v>
      </c>
      <c r="G10" s="102">
        <v>60</v>
      </c>
      <c r="H10" s="44">
        <v>0.02</v>
      </c>
      <c r="I10" s="45">
        <f>IF($B$3-T_Prestamos[[#This Row],[Fecha inicio]]&lt;=365,H10*T_Prestamos[[#This Row],[Principal]],0)</f>
        <v>0</v>
      </c>
      <c r="J10" s="83">
        <v>300000</v>
      </c>
      <c r="K10" s="84">
        <f>C10/J10</f>
        <v>0.26666666666666666</v>
      </c>
      <c r="L10" s="39" t="s">
        <v>231</v>
      </c>
      <c r="M10" s="40"/>
      <c r="N10" s="81"/>
      <c r="O10" s="22">
        <f>DATEDIF(T_Prestamos[[#This Row],[Fecha inicio]],DATE(YEAR($B$3),1,DAY(T_Prestamos[[#This Row],[Fecha inicio]])),"m")</f>
        <v>16</v>
      </c>
      <c r="P10" s="81">
        <f>IF(T_Prestamos[[#This Row],[Estado final]]="Cancelado",0,IF(T_Prestamos[[#This Row],[Tipo cálculo]]="Americano",T_Prestamos[[#This Row],[Principal final]]*T_Prestamos[[#This Row],[% interés]],-CUMIPMT(T_Prestamos[[#This Row],[% interés]]/12,T_Prestamos[[#This Row],[Duración - meses]],T_Prestamos[[#This Row],[Principal]],T_Prestamos[[#This Row],[Cuota 1 año curso]],MIN(T_Prestamos[[#This Row],[Cuota 1 año curso]]+11,T_Prestamos[[#This Row],[Duración - meses]]),0)))</f>
        <v>0</v>
      </c>
      <c r="Q10" s="19">
        <f>DATEDIF(T_Prestamos[[#This Row],[Fecha inicio]],$B$3,"m")</f>
        <v>18</v>
      </c>
    </row>
    <row r="11" spans="1:18" s="22" customFormat="1" ht="17" x14ac:dyDescent="0.2">
      <c r="A11" s="42" t="s">
        <v>221</v>
      </c>
      <c r="B11" s="21" t="s">
        <v>281</v>
      </c>
      <c r="C11" s="38">
        <v>80000</v>
      </c>
      <c r="D11" s="43">
        <v>45575</v>
      </c>
      <c r="E11" s="38" t="s">
        <v>29</v>
      </c>
      <c r="F11" s="44">
        <v>0.08</v>
      </c>
      <c r="G11" s="102">
        <v>36</v>
      </c>
      <c r="H11" s="44">
        <v>0.01</v>
      </c>
      <c r="I11" s="45">
        <f>IF($B$3-T_Prestamos[[#This Row],[Fecha inicio]]&lt;=365,H11*T_Prestamos[[#This Row],[Principal]],0)</f>
        <v>0</v>
      </c>
      <c r="J11" s="83">
        <v>250000</v>
      </c>
      <c r="K11" s="84">
        <f>C11/J11</f>
        <v>0.32</v>
      </c>
      <c r="L11" s="39" t="s">
        <v>189</v>
      </c>
      <c r="M11" s="40"/>
      <c r="N11" s="81">
        <f>IF(T_Prestamos[[#This Row],[Estado final]]="Cancelado",0,SUMIFS(T_Acciones_Prestamos[Saldo Principal],T_Acciones_Prestamos[Préstamo],T_Prestamos[[#This Row],[Ref]],T_Acciones_Prestamos[Orden],_xlfn.MAXIFS(T_Acciones_Prestamos[Orden],T_Acciones_Prestamos[Préstamo],T_Prestamos[[#This Row],[Ref]])))</f>
        <v>74039.710000000006</v>
      </c>
      <c r="O11" s="22">
        <f>DATEDIF(T_Prestamos[[#This Row],[Fecha inicio]],DATE(YEAR($B$3),1,DAY(T_Prestamos[[#This Row],[Fecha inicio]])),"m")</f>
        <v>15</v>
      </c>
      <c r="P11" s="81">
        <f>IF(T_Prestamos[[#This Row],[Estado final]]="Cancelado",0,IF(T_Prestamos[[#This Row],[Tipo cálculo]]="Americano",T_Prestamos[[#This Row],[Principal final]]*T_Prestamos[[#This Row],[% interés]],-CUMIPMT(T_Prestamos[[#This Row],[% interés]]/12,T_Prestamos[[#This Row],[Duración - meses]],T_Prestamos[[#This Row],[Principal]],T_Prestamos[[#This Row],[Cuota 1 año curso]],MIN(T_Prestamos[[#This Row],[Cuota 1 año curso]]+11,T_Prestamos[[#This Row],[Duración - meses]]),0)))</f>
        <v>3116.680486291847</v>
      </c>
      <c r="Q11" s="19">
        <f>DATEDIF(T_Prestamos[[#This Row],[Fecha inicio]],$B$3,"m")</f>
        <v>17</v>
      </c>
    </row>
    <row r="12" spans="1:18" s="79" customFormat="1" x14ac:dyDescent="0.2">
      <c r="A12" s="70"/>
      <c r="B12" s="71"/>
      <c r="C12" s="72"/>
      <c r="D12" s="73"/>
      <c r="E12" s="72"/>
      <c r="F12" s="74"/>
      <c r="G12" s="72"/>
      <c r="H12" s="74"/>
      <c r="I12" s="75"/>
      <c r="J12" s="72"/>
      <c r="K12" s="76"/>
      <c r="L12" s="77"/>
      <c r="M12" s="78"/>
      <c r="N12" s="78"/>
    </row>
    <row r="13" spans="1:18" s="34" customFormat="1" x14ac:dyDescent="0.2">
      <c r="A13" s="27"/>
      <c r="B13" s="28"/>
      <c r="C13" s="29"/>
      <c r="D13" s="30"/>
      <c r="E13" s="29"/>
      <c r="F13" s="30"/>
      <c r="G13" s="30"/>
      <c r="H13" s="30"/>
      <c r="I13" s="31"/>
      <c r="J13" s="32"/>
      <c r="K13" s="32"/>
      <c r="L13" s="33"/>
      <c r="N13" s="32"/>
    </row>
    <row r="14" spans="1:18" x14ac:dyDescent="0.2">
      <c r="A14" s="80" t="s">
        <v>208</v>
      </c>
      <c r="B14" s="80"/>
      <c r="C14" s="96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</row>
    <row r="15" spans="1:18" ht="17" x14ac:dyDescent="0.2">
      <c r="A15" s="20" t="s">
        <v>109</v>
      </c>
      <c r="B15" s="20" t="s">
        <v>3</v>
      </c>
      <c r="C15" s="20" t="s">
        <v>209</v>
      </c>
      <c r="D15" s="20" t="s">
        <v>211</v>
      </c>
      <c r="E15" s="20" t="s">
        <v>264</v>
      </c>
      <c r="F15" s="20" t="s">
        <v>212</v>
      </c>
      <c r="G15" s="20" t="s">
        <v>188</v>
      </c>
      <c r="H15" s="20" t="s">
        <v>200</v>
      </c>
      <c r="I15" s="20" t="s">
        <v>276</v>
      </c>
      <c r="J15" s="20" t="s">
        <v>279</v>
      </c>
      <c r="K15" s="20" t="s">
        <v>224</v>
      </c>
      <c r="L15" s="20" t="s">
        <v>225</v>
      </c>
      <c r="M15" s="20" t="s">
        <v>230</v>
      </c>
      <c r="N15" s="20" t="s">
        <v>232</v>
      </c>
      <c r="O15" s="20" t="s">
        <v>247</v>
      </c>
      <c r="P15" s="20" t="s">
        <v>263</v>
      </c>
      <c r="Q15" s="20" t="s">
        <v>275</v>
      </c>
      <c r="R15" s="20" t="s">
        <v>7</v>
      </c>
    </row>
    <row r="16" spans="1:18" ht="17" x14ac:dyDescent="0.2">
      <c r="A16" s="47" t="s">
        <v>113</v>
      </c>
      <c r="B16" s="58" t="s">
        <v>114</v>
      </c>
      <c r="C16" s="47" t="s">
        <v>206</v>
      </c>
      <c r="D16" s="46">
        <v>0.4</v>
      </c>
      <c r="E16" s="48">
        <f>L16*D16</f>
        <v>40000</v>
      </c>
      <c r="F16" s="46">
        <v>0.02</v>
      </c>
      <c r="G16" s="48">
        <f>T_CCP[[#This Row],[Ingr. Anuales prest.]]*T_CCP[[#This Row],[% participación]]</f>
        <v>0</v>
      </c>
      <c r="H16" s="48">
        <f>T_CCP[[#This Row],[Participado final]]*T_CCP[[#This Row],[% gestión]]</f>
        <v>0</v>
      </c>
      <c r="I16" s="48">
        <f>T_CCP[[#This Row],[Garantías prestamo]]*T_CCP[[#This Row],[% participación]]</f>
        <v>80000</v>
      </c>
      <c r="J16" s="48">
        <f>T_CCP[[#This Row],[Principal final]]*T_CCP[[#This Row],[% participación]]</f>
        <v>0</v>
      </c>
      <c r="K16" s="49">
        <f>VLOOKUP(C16,$A$8:$L$11,$F$5,FALSE)</f>
        <v>0.06</v>
      </c>
      <c r="L16" s="50">
        <f>VLOOKUP(C16,$A$8:$L$11,$C$5,FALSE)</f>
        <v>100000</v>
      </c>
      <c r="M16" s="50" t="str">
        <f>IF(VLOOKUP(C16,T_Prestamos[],$L$5,FALSE)=0,"",VLOOKUP(C16,T_Prestamos[],$L$5,FALSE))</f>
        <v>Cancelado</v>
      </c>
      <c r="N16" s="50" t="str">
        <f>IF(VLOOKUP(C16,T_Prestamos[],$M$5,FALSE)=0,"",VLOOKUP(C16,T_Prestamos[],$M$5,FALSE))</f>
        <v/>
      </c>
      <c r="O16" s="50">
        <f>VLOOKUP(C16,T_Prestamos[],$N$5,FALSE)</f>
        <v>0</v>
      </c>
      <c r="P16" s="50">
        <f>VLOOKUP(C16,T_Prestamos[],$P$5,FALSE)</f>
        <v>0</v>
      </c>
      <c r="Q16" s="88">
        <f>VLOOKUP(C16,T_Prestamos[],$J$5,FALSE)</f>
        <v>200000</v>
      </c>
      <c r="R16" s="89">
        <f>VLOOKUP(C16,T_Prestamos[],$Q$5,FALSE)</f>
        <v>21</v>
      </c>
    </row>
    <row r="17" spans="1:19" ht="17" x14ac:dyDescent="0.2">
      <c r="A17" s="47" t="s">
        <v>115</v>
      </c>
      <c r="B17" s="58" t="s">
        <v>116</v>
      </c>
      <c r="C17" s="47" t="s">
        <v>210</v>
      </c>
      <c r="D17" s="46">
        <v>0.5</v>
      </c>
      <c r="E17" s="48">
        <f>L17*D17</f>
        <v>30000</v>
      </c>
      <c r="F17" s="46">
        <v>0.02</v>
      </c>
      <c r="G17" s="48">
        <f>T_CCP[[#This Row],[Ingr. Anuales prest.]]*T_CCP[[#This Row],[% participación]]</f>
        <v>1981.9378923024933</v>
      </c>
      <c r="H17" s="48">
        <f>T_CCP[[#This Row],[Participado final]]*T_CCP[[#This Row],[% gestión]]</f>
        <v>567.8433</v>
      </c>
      <c r="I17" s="48">
        <f>T_CCP[[#This Row],[Garantías prestamo]]*T_CCP[[#This Row],[% participación]]</f>
        <v>100000</v>
      </c>
      <c r="J17" s="48">
        <f>T_CCP[[#This Row],[Principal final]]*T_CCP[[#This Row],[% participación]]</f>
        <v>28392.165000000001</v>
      </c>
      <c r="K17" s="49">
        <f>VLOOKUP(C17,$A$8:$L$11,$F$5,FALSE)</f>
        <v>0.08</v>
      </c>
      <c r="L17" s="50">
        <f>VLOOKUP(C17,$A$8:$L$11,$C$5,FALSE)</f>
        <v>60000</v>
      </c>
      <c r="M17" s="50" t="str">
        <f>IF(VLOOKUP(C17,T_Prestamos[],$L$5,FALSE)=0,"",VLOOKUP(C17,T_Prestamos[],$L$5,FALSE))</f>
        <v>Activo</v>
      </c>
      <c r="N17" s="50" t="str">
        <f>IF(VLOOKUP(C17,T_Prestamos[],$M$5,FALSE)=0,"",VLOOKUP(C17,T_Prestamos[],$M$5,FALSE))</f>
        <v>Al día</v>
      </c>
      <c r="O17" s="50">
        <f>VLOOKUP(C17,T_Prestamos[],$N$5,FALSE)</f>
        <v>56784.33</v>
      </c>
      <c r="P17" s="50">
        <f>VLOOKUP(C17,T_Prestamos[],$P$5,FALSE)</f>
        <v>3963.8757846049866</v>
      </c>
      <c r="Q17" s="88">
        <f>VLOOKUP(C17,T_Prestamos[],$J$5,FALSE)</f>
        <v>200000</v>
      </c>
      <c r="R17" s="89">
        <f>VLOOKUP(C17,T_Prestamos[],$Q$5,FALSE)</f>
        <v>7</v>
      </c>
    </row>
    <row r="18" spans="1:19" ht="17" x14ac:dyDescent="0.2">
      <c r="A18" s="47" t="s">
        <v>117</v>
      </c>
      <c r="B18" s="58" t="s">
        <v>118</v>
      </c>
      <c r="C18" s="47" t="s">
        <v>140</v>
      </c>
      <c r="D18" s="46">
        <v>0.25</v>
      </c>
      <c r="E18" s="48">
        <f>L18*D18</f>
        <v>20000</v>
      </c>
      <c r="F18" s="46">
        <v>0.02</v>
      </c>
      <c r="G18" s="48">
        <f>T_CCP[[#This Row],[Ingr. Anuales prest.]]*T_CCP[[#This Row],[% participación]]</f>
        <v>0</v>
      </c>
      <c r="H18" s="48">
        <f>T_CCP[[#This Row],[Participado final]]*T_CCP[[#This Row],[% gestión]]</f>
        <v>0</v>
      </c>
      <c r="I18" s="48">
        <f>T_CCP[[#This Row],[Garantías prestamo]]*T_CCP[[#This Row],[% participación]]</f>
        <v>75000</v>
      </c>
      <c r="J18" s="48">
        <f>T_CCP[[#This Row],[Principal final]]*T_CCP[[#This Row],[% participación]]</f>
        <v>0</v>
      </c>
      <c r="K18" s="49">
        <f>VLOOKUP(C18,$A$8:$L$11,$F$5,FALSE)</f>
        <v>0.09</v>
      </c>
      <c r="L18" s="50">
        <f>VLOOKUP(C18,$A$8:$L$11,$C$5,FALSE)</f>
        <v>80000</v>
      </c>
      <c r="M18" s="50" t="str">
        <f>IF(VLOOKUP(C18,T_Prestamos[],$L$5,FALSE)=0,"",VLOOKUP(C18,T_Prestamos[],$L$5,FALSE))</f>
        <v>Cancelado</v>
      </c>
      <c r="N18" s="50" t="str">
        <f>IF(VLOOKUP(C18,T_Prestamos[],$M$5,FALSE)=0,"",VLOOKUP(C18,T_Prestamos[],$M$5,FALSE))</f>
        <v/>
      </c>
      <c r="O18" s="50">
        <f>VLOOKUP(C18,T_Prestamos[],$N$5,FALSE)</f>
        <v>0</v>
      </c>
      <c r="P18" s="50">
        <f>VLOOKUP(C18,T_Prestamos[],$P$5,FALSE)</f>
        <v>0</v>
      </c>
      <c r="Q18" s="88">
        <f>VLOOKUP(C18,T_Prestamos[],$J$5,FALSE)</f>
        <v>300000</v>
      </c>
      <c r="R18" s="89">
        <f>VLOOKUP(C18,T_Prestamos[],$Q$5,FALSE)</f>
        <v>18</v>
      </c>
    </row>
    <row r="19" spans="1:19" x14ac:dyDescent="0.2">
      <c r="A19" s="23"/>
      <c r="B19" s="24"/>
      <c r="C19" s="25"/>
      <c r="D19" s="25"/>
      <c r="E19" s="25"/>
    </row>
    <row r="20" spans="1:19" x14ac:dyDescent="0.2">
      <c r="A20" s="80" t="s">
        <v>245</v>
      </c>
      <c r="B20" s="80"/>
      <c r="C20" s="96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</row>
    <row r="21" spans="1:19" s="22" customFormat="1" ht="51" x14ac:dyDescent="0.2">
      <c r="A21" s="36" t="s">
        <v>209</v>
      </c>
      <c r="B21" s="36" t="s">
        <v>3</v>
      </c>
      <c r="C21" s="36" t="s">
        <v>248</v>
      </c>
      <c r="D21" s="36" t="s">
        <v>222</v>
      </c>
      <c r="E21" s="36" t="s">
        <v>223</v>
      </c>
      <c r="F21" s="36" t="s">
        <v>235</v>
      </c>
      <c r="G21" s="36" t="s">
        <v>215</v>
      </c>
      <c r="H21" s="36" t="s">
        <v>216</v>
      </c>
      <c r="I21" s="36" t="s">
        <v>219</v>
      </c>
      <c r="J21" s="36" t="s">
        <v>186</v>
      </c>
      <c r="K21" s="36" t="s">
        <v>237</v>
      </c>
      <c r="L21" s="36" t="s">
        <v>238</v>
      </c>
      <c r="M21" s="36" t="s">
        <v>220</v>
      </c>
      <c r="N21" s="36" t="s">
        <v>262</v>
      </c>
      <c r="O21" s="36" t="s">
        <v>224</v>
      </c>
      <c r="P21" s="36" t="s">
        <v>225</v>
      </c>
      <c r="Q21" s="36" t="s">
        <v>226</v>
      </c>
      <c r="R21" s="36" t="s">
        <v>227</v>
      </c>
      <c r="S21" s="36" t="s">
        <v>236</v>
      </c>
    </row>
    <row r="22" spans="1:19" ht="17" x14ac:dyDescent="0.2">
      <c r="A22" s="47" t="s">
        <v>206</v>
      </c>
      <c r="B22" s="58" t="s">
        <v>217</v>
      </c>
      <c r="C22" s="82">
        <f>IF(A22=A21,C21+1,1)</f>
        <v>1</v>
      </c>
      <c r="D22" s="47">
        <v>1</v>
      </c>
      <c r="E22" s="47">
        <v>3</v>
      </c>
      <c r="F22" s="51">
        <f t="shared" ref="F22:F26" si="0">EDATE(S22,D22)</f>
        <v>45488</v>
      </c>
      <c r="G22" s="51">
        <f>EDATE(S22,E22)</f>
        <v>45550</v>
      </c>
      <c r="H22" s="53" t="s">
        <v>218</v>
      </c>
      <c r="I22" s="54">
        <f>ROUND(IF(Q22="Americano",P22*O22/12*(T_Acciones_Prestamos[[#This Row],[Cuota_fin]]-T_Acciones_Prestamos[[#This Row],[Cuota_ini]]+1),-CUMIPMT(O22/12,R22,P22,D22,E22,0)),2)</f>
        <v>1500</v>
      </c>
      <c r="J22" s="55">
        <f t="shared" ref="J22:J26" si="1">ROUND(IF(Q22="Americano",0,-CUMPRINC(O22/12,R22,P22,D22,E22,0)),2)</f>
        <v>0</v>
      </c>
      <c r="K22" s="60">
        <f>IF(T_Acciones_Prestamos[[#This Row],[Descripción]]="Cancelación del préstamo",P22,0)</f>
        <v>0</v>
      </c>
      <c r="L22" s="60"/>
      <c r="M22" s="56">
        <f>P22-J22</f>
        <v>100000</v>
      </c>
      <c r="N22" s="56"/>
      <c r="O22" s="49">
        <f t="shared" ref="O22:O27" si="2">VLOOKUP(A22,$A$8:$Q$11,$F$5,FALSE)</f>
        <v>0.06</v>
      </c>
      <c r="P22" s="50">
        <f>VLOOKUP(A22,$A$8:$Q$11,$C$5,FALSE)</f>
        <v>100000</v>
      </c>
      <c r="Q22" s="50" t="str">
        <f t="shared" ref="Q22:Q27" si="3">VLOOKUP(A22,$A$8:$Q$11,$E$5,FALSE)</f>
        <v>Americano</v>
      </c>
      <c r="R22" s="57">
        <f t="shared" ref="R22:R27" si="4">VLOOKUP(A22,$A$8:$Q$11,$G$5,FALSE)</f>
        <v>36</v>
      </c>
      <c r="S22" s="59">
        <f t="shared" ref="S22:S27" si="5">VLOOKUP(A22,$A$8:$Q$11,$D$5,FALSE)</f>
        <v>45458</v>
      </c>
    </row>
    <row r="23" spans="1:19" ht="17" x14ac:dyDescent="0.2">
      <c r="A23" s="47" t="s">
        <v>206</v>
      </c>
      <c r="B23" s="58" t="s">
        <v>228</v>
      </c>
      <c r="C23" s="82">
        <f t="shared" ref="C23:C26" si="6">IF(A23=A22,C22+1,1)</f>
        <v>2</v>
      </c>
      <c r="D23" s="47">
        <v>4</v>
      </c>
      <c r="E23" s="47">
        <v>4</v>
      </c>
      <c r="F23" s="51">
        <f t="shared" si="0"/>
        <v>45580</v>
      </c>
      <c r="G23" s="52"/>
      <c r="H23" s="53" t="s">
        <v>229</v>
      </c>
      <c r="I23" s="55">
        <f>ROUND(IF(Q23="Americano",P23*O23/12*(T_Acciones_Prestamos[[#This Row],[Cuota_fin]]-T_Acciones_Prestamos[[#This Row],[Cuota_ini]]+1),-CUMIPMT(O23/12,R23,P23,D23,E23,0)),2)</f>
        <v>500</v>
      </c>
      <c r="J23" s="55">
        <f t="shared" si="1"/>
        <v>0</v>
      </c>
      <c r="K23" s="61">
        <f>IF(T_Acciones_Prestamos[[#This Row],[Descripción]]="Cancelación del préstamo",P23,0)</f>
        <v>100000</v>
      </c>
      <c r="L23" s="60"/>
      <c r="M23" s="56">
        <f>P23-J23-K23</f>
        <v>0</v>
      </c>
      <c r="N23" s="56"/>
      <c r="O23" s="49">
        <f t="shared" si="2"/>
        <v>0.06</v>
      </c>
      <c r="P23" s="50">
        <f>VLOOKUP(A23,$A$8:$L$11,3,FALSE)</f>
        <v>100000</v>
      </c>
      <c r="Q23" s="50" t="str">
        <f t="shared" si="3"/>
        <v>Americano</v>
      </c>
      <c r="R23" s="57">
        <f t="shared" si="4"/>
        <v>36</v>
      </c>
      <c r="S23" s="59">
        <f t="shared" si="5"/>
        <v>45458</v>
      </c>
    </row>
    <row r="24" spans="1:19" ht="17" x14ac:dyDescent="0.2">
      <c r="A24" s="47" t="s">
        <v>210</v>
      </c>
      <c r="B24" s="58" t="s">
        <v>217</v>
      </c>
      <c r="C24" s="82">
        <f t="shared" si="6"/>
        <v>1</v>
      </c>
      <c r="D24" s="47">
        <v>1</v>
      </c>
      <c r="E24" s="47">
        <v>3</v>
      </c>
      <c r="F24" s="51">
        <f t="shared" si="0"/>
        <v>45920</v>
      </c>
      <c r="G24" s="51">
        <f t="shared" ref="G24:G26" si="7">EDATE(S24,E24)</f>
        <v>45981</v>
      </c>
      <c r="H24" s="53" t="s">
        <v>218</v>
      </c>
      <c r="I24" s="55">
        <f>ROUND(IF(Q24="Americano",P24*O24/12*(T_Acciones_Prestamos[[#This Row],[Cuota_fin]]-T_Acciones_Prestamos[[#This Row],[Cuota_ini]]+1),-CUMIPMT(O24/12,R24,P24,D24,E24,0)),2)</f>
        <v>1178.6600000000001</v>
      </c>
      <c r="J24" s="55">
        <f t="shared" si="1"/>
        <v>3215.67</v>
      </c>
      <c r="K24" s="60">
        <f>IF(T_Acciones_Prestamos[[#This Row],[Descripción]]="Cancelación del préstamo",P24,0)</f>
        <v>0</v>
      </c>
      <c r="L24" s="60"/>
      <c r="M24" s="56">
        <f>P24-J24</f>
        <v>56784.33</v>
      </c>
      <c r="N24" s="56"/>
      <c r="O24" s="49">
        <f t="shared" si="2"/>
        <v>0.08</v>
      </c>
      <c r="P24" s="50">
        <f>VLOOKUP(A24,$A$8:$L$11,3,FALSE)</f>
        <v>60000</v>
      </c>
      <c r="Q24" s="50" t="str">
        <f t="shared" si="3"/>
        <v>Francés</v>
      </c>
      <c r="R24" s="57">
        <f t="shared" si="4"/>
        <v>48</v>
      </c>
      <c r="S24" s="59">
        <f t="shared" si="5"/>
        <v>45889</v>
      </c>
    </row>
    <row r="25" spans="1:19" ht="17" x14ac:dyDescent="0.2">
      <c r="A25" s="47" t="s">
        <v>140</v>
      </c>
      <c r="B25" s="58" t="s">
        <v>217</v>
      </c>
      <c r="C25" s="82">
        <f t="shared" si="6"/>
        <v>1</v>
      </c>
      <c r="D25" s="47">
        <v>1</v>
      </c>
      <c r="E25" s="47">
        <v>3</v>
      </c>
      <c r="F25" s="51">
        <f t="shared" si="0"/>
        <v>45570</v>
      </c>
      <c r="G25" s="51">
        <f t="shared" si="7"/>
        <v>45631</v>
      </c>
      <c r="H25" s="53" t="s">
        <v>218</v>
      </c>
      <c r="I25" s="55">
        <f>ROUND(IF(Q25="Americano",P25*O25/12*(T_Acciones_Prestamos[[#This Row],[Cuota_fin]]-T_Acciones_Prestamos[[#This Row],[Cuota_ini]]+1),-CUMIPMT(O25/12,R25,P25,D25,E25,0)),2)</f>
        <v>1800</v>
      </c>
      <c r="J25" s="55">
        <f t="shared" si="1"/>
        <v>0</v>
      </c>
      <c r="K25" s="60">
        <f>IF(T_Acciones_Prestamos[[#This Row],[Descripción]]="Cancelación del préstamo",P25,0)</f>
        <v>0</v>
      </c>
      <c r="L25" s="60"/>
      <c r="M25" s="56">
        <f>P25-J25</f>
        <v>80000</v>
      </c>
      <c r="N25" s="56"/>
      <c r="O25" s="49">
        <f t="shared" si="2"/>
        <v>0.09</v>
      </c>
      <c r="P25" s="50">
        <f>VLOOKUP(A25,$A$8:$L$11,3,FALSE)</f>
        <v>80000</v>
      </c>
      <c r="Q25" s="50" t="str">
        <f t="shared" si="3"/>
        <v>Americano</v>
      </c>
      <c r="R25" s="57">
        <f t="shared" si="4"/>
        <v>60</v>
      </c>
      <c r="S25" s="59">
        <f t="shared" si="5"/>
        <v>45540</v>
      </c>
    </row>
    <row r="26" spans="1:19" ht="17" x14ac:dyDescent="0.2">
      <c r="A26" s="47" t="s">
        <v>221</v>
      </c>
      <c r="B26" s="58" t="s">
        <v>217</v>
      </c>
      <c r="C26" s="82">
        <f t="shared" si="6"/>
        <v>1</v>
      </c>
      <c r="D26" s="47">
        <v>1</v>
      </c>
      <c r="E26" s="47">
        <v>3</v>
      </c>
      <c r="F26" s="51">
        <f t="shared" si="0"/>
        <v>45606</v>
      </c>
      <c r="G26" s="51">
        <f t="shared" si="7"/>
        <v>45667</v>
      </c>
      <c r="H26" s="53" t="s">
        <v>218</v>
      </c>
      <c r="I26" s="55">
        <f>ROUND(IF(Q26="Americano",P26*O26/12*(T_Acciones_Prestamos[[#This Row],[Cuota_fin]]-T_Acciones_Prestamos[[#This Row],[Cuota_ini]]+1),-CUMIPMT(O26/12,R26,P26,D26,E26,0)),2)</f>
        <v>1560.44</v>
      </c>
      <c r="J26" s="55">
        <f t="shared" si="1"/>
        <v>5960.29</v>
      </c>
      <c r="K26" s="60">
        <f>IF(T_Acciones_Prestamos[[#This Row],[Descripción]]="Cancelación del préstamo",P26,0)</f>
        <v>0</v>
      </c>
      <c r="L26" s="60"/>
      <c r="M26" s="56">
        <f>P26-J26</f>
        <v>74039.710000000006</v>
      </c>
      <c r="N26" s="56"/>
      <c r="O26" s="49">
        <f t="shared" si="2"/>
        <v>0.08</v>
      </c>
      <c r="P26" s="50">
        <f>VLOOKUP(A26,$A$8:$L$11,3,FALSE)</f>
        <v>80000</v>
      </c>
      <c r="Q26" s="50" t="str">
        <f t="shared" si="3"/>
        <v>Francés</v>
      </c>
      <c r="R26" s="57">
        <f t="shared" si="4"/>
        <v>36</v>
      </c>
      <c r="S26" s="59">
        <f t="shared" si="5"/>
        <v>45575</v>
      </c>
    </row>
    <row r="27" spans="1:19" ht="17" x14ac:dyDescent="0.2">
      <c r="A27" s="47" t="s">
        <v>221</v>
      </c>
      <c r="B27" s="58" t="s">
        <v>290</v>
      </c>
      <c r="C27" s="82">
        <f>IF(A27=A26,C26+1,1)</f>
        <v>2</v>
      </c>
      <c r="D27" s="47">
        <v>4</v>
      </c>
      <c r="E27" s="47">
        <v>6</v>
      </c>
      <c r="F27" s="51">
        <f>EDATE(S27,D27)</f>
        <v>45698</v>
      </c>
      <c r="G27" s="51">
        <f>EDATE(S27,E27)</f>
        <v>45757</v>
      </c>
      <c r="H27" s="53" t="s">
        <v>289</v>
      </c>
      <c r="I27" s="126">
        <f>ROUND(IF(Q27="Americano",P27*O27/12*(T_Acciones_Prestamos[[#This Row],[Cuota_fin]]-T_Acciones_Prestamos[[#This Row],[Cuota_ini]]+1),-CUMIPMT(O27/12,R27,P27,D27,E27,0)),2)</f>
        <v>1440.44</v>
      </c>
      <c r="J27" s="126">
        <f>ROUND(IF(Q27="Americano",0,-CUMPRINC(O27/12,R27,P27,D27,E27,0)),2)</f>
        <v>6080.29</v>
      </c>
      <c r="K27" s="61">
        <f>M26</f>
        <v>74039.710000000006</v>
      </c>
      <c r="L27" s="127"/>
      <c r="M27" s="56">
        <f>IF(T_Acciones_Prestamos[[#This Row],[Acción]]="Judicializar",T_Acciones_Prestamos[[#This Row],[Cancelación
Judicialización
Amortización parcial]],T_Acciones_Prestamos[[#This Row],[Aux Principal]]-T_Acciones_Prestamos[[#This Row],[Principal]]-T_Acciones_Prestamos[[#This Row],[Cancelación
Judicialización
Amortización parcial]])</f>
        <v>74039.710000000006</v>
      </c>
      <c r="N27" s="56"/>
      <c r="O27" s="49">
        <f t="shared" si="2"/>
        <v>0.08</v>
      </c>
      <c r="P27" s="50">
        <f>VLOOKUP(A27,$A$8:$L$11,3,FALSE)</f>
        <v>80000</v>
      </c>
      <c r="Q27" s="50" t="str">
        <f t="shared" si="3"/>
        <v>Francés</v>
      </c>
      <c r="R27" s="57">
        <f t="shared" si="4"/>
        <v>36</v>
      </c>
      <c r="S27" s="59">
        <f t="shared" si="5"/>
        <v>45575</v>
      </c>
    </row>
    <row r="28" spans="1:19" x14ac:dyDescent="0.2">
      <c r="A28" s="69"/>
      <c r="B28" s="63"/>
      <c r="C28" s="62"/>
      <c r="D28" s="62"/>
      <c r="E28" s="64"/>
      <c r="F28" s="64"/>
      <c r="G28" s="65"/>
      <c r="H28" s="66"/>
      <c r="I28" s="67"/>
      <c r="J28" s="67"/>
      <c r="K28" s="67"/>
      <c r="L28" s="68"/>
      <c r="M28" s="49"/>
      <c r="N28" s="50"/>
      <c r="O28" s="50"/>
      <c r="P28" s="57"/>
      <c r="Q28" s="59"/>
    </row>
    <row r="30" spans="1:19" x14ac:dyDescent="0.2">
      <c r="A30" s="80" t="s">
        <v>241</v>
      </c>
      <c r="B30" s="80"/>
      <c r="C30" s="96"/>
      <c r="D30" s="80"/>
    </row>
    <row r="31" spans="1:19" s="22" customFormat="1" ht="17" x14ac:dyDescent="0.2">
      <c r="A31" s="36" t="s">
        <v>243</v>
      </c>
      <c r="B31" s="36" t="s">
        <v>3</v>
      </c>
      <c r="C31" s="36" t="s">
        <v>242</v>
      </c>
      <c r="D31" s="36" t="s">
        <v>16</v>
      </c>
    </row>
    <row r="32" spans="1:19" ht="17" x14ac:dyDescent="0.2">
      <c r="A32" s="41" t="s">
        <v>231</v>
      </c>
      <c r="B32" s="85" t="s">
        <v>244</v>
      </c>
      <c r="C32" s="97">
        <f>SUMIFS(C8:C11,L8:L11,"Cancelado")</f>
        <v>180000</v>
      </c>
      <c r="D32" s="26"/>
    </row>
    <row r="33" spans="1:17" ht="34" x14ac:dyDescent="0.2">
      <c r="A33" s="41" t="s">
        <v>240</v>
      </c>
      <c r="B33" s="85" t="s">
        <v>246</v>
      </c>
      <c r="C33" s="97">
        <f>SUM(T_Prestamos[Principal])-SUMIFS(C8:C11,L8:L11,"Cancelado")</f>
        <v>140000</v>
      </c>
      <c r="D33" s="26"/>
    </row>
    <row r="34" spans="1:17" ht="51" x14ac:dyDescent="0.2">
      <c r="A34" s="41" t="s">
        <v>137</v>
      </c>
      <c r="B34" s="85" t="s">
        <v>249</v>
      </c>
      <c r="C34" s="97">
        <f>SUMIFS(T_Prestamos[Principal final],T_Prestamos[Estado final],"Activo")+SUMIFS(T_Prestamos[Principal final],T_Prestamos[Estado final],"Judicializado")</f>
        <v>130824.04000000001</v>
      </c>
      <c r="D34" s="26"/>
    </row>
    <row r="35" spans="1:17" ht="68" x14ac:dyDescent="0.2">
      <c r="A35" s="41" t="s">
        <v>233</v>
      </c>
      <c r="B35" s="85" t="s">
        <v>250</v>
      </c>
      <c r="C35" s="97">
        <f>SUMIFS(T_Prestamos[Principal final],T_Prestamos[Estado final],"Activo")</f>
        <v>56784.33</v>
      </c>
      <c r="D35" s="26"/>
    </row>
    <row r="36" spans="1:17" ht="85" x14ac:dyDescent="0.2">
      <c r="A36" s="41" t="s">
        <v>234</v>
      </c>
      <c r="B36" s="85" t="s">
        <v>251</v>
      </c>
      <c r="C36" s="97">
        <f>SUMIFS(T_Prestamos[Principal final],T_Prestamos[Estado final],"Activo",T_Prestamos[Situación final],"Al día")</f>
        <v>56784.33</v>
      </c>
      <c r="D36" s="26"/>
    </row>
    <row r="37" spans="1:17" ht="85" x14ac:dyDescent="0.2">
      <c r="A37" s="41" t="s">
        <v>239</v>
      </c>
      <c r="B37" s="85" t="s">
        <v>251</v>
      </c>
      <c r="C37" s="97">
        <f>SUMIFS(T_Prestamos[Principal final],T_Prestamos[Estado final],"Activo",T_Prestamos[Situación final],"Con retraso")</f>
        <v>0</v>
      </c>
      <c r="D37" s="26"/>
    </row>
    <row r="38" spans="1:17" ht="68" x14ac:dyDescent="0.2">
      <c r="A38" s="41" t="s">
        <v>189</v>
      </c>
      <c r="B38" s="85" t="s">
        <v>252</v>
      </c>
      <c r="C38" s="97">
        <f>SUMIFS(T_Prestamos[Principal final],T_Prestamos[Estado final],"Judicializado")</f>
        <v>74039.710000000006</v>
      </c>
      <c r="D38" s="26"/>
    </row>
    <row r="39" spans="1:17" ht="68" x14ac:dyDescent="0.2">
      <c r="A39" s="41" t="s">
        <v>253</v>
      </c>
      <c r="B39" s="85" t="s">
        <v>256</v>
      </c>
      <c r="C39" s="97">
        <f>SUMIFS(T_CCP[Participado final],T_CCP[Estado final],"Activo")</f>
        <v>28392.165000000001</v>
      </c>
      <c r="D39" s="26"/>
    </row>
    <row r="40" spans="1:17" ht="68" x14ac:dyDescent="0.2">
      <c r="A40" s="41" t="s">
        <v>254</v>
      </c>
      <c r="B40" s="85" t="s">
        <v>255</v>
      </c>
      <c r="C40" s="97">
        <f>SUMIFS(T_CCP[Participado final],T_CCP[Estado final],"Judicializado")</f>
        <v>0</v>
      </c>
      <c r="D40" s="26"/>
    </row>
    <row r="41" spans="1:17" ht="51" x14ac:dyDescent="0.2">
      <c r="A41" s="41" t="s">
        <v>260</v>
      </c>
      <c r="B41" s="85" t="s">
        <v>259</v>
      </c>
      <c r="C41" s="97">
        <f>SUMIFS(T_Prestamos[Ingr. Anuales],T_Prestamos[Estado final],"Activo")</f>
        <v>3963.8757846049866</v>
      </c>
      <c r="D41" s="26"/>
    </row>
    <row r="42" spans="1:17" ht="51" x14ac:dyDescent="0.2">
      <c r="A42" s="41" t="s">
        <v>261</v>
      </c>
      <c r="B42" s="85" t="s">
        <v>259</v>
      </c>
      <c r="C42" s="97">
        <f>SUMIFS(T_CCP[Ingresos anuales],T_CCP[Estado final],"Activo")</f>
        <v>1981.9378923024933</v>
      </c>
      <c r="D42" s="26"/>
    </row>
    <row r="43" spans="1:17" ht="34" x14ac:dyDescent="0.2">
      <c r="A43" s="41" t="s">
        <v>267</v>
      </c>
      <c r="B43" s="85" t="s">
        <v>268</v>
      </c>
      <c r="C43" s="97">
        <f>SUM(T_CCP[Gestión])</f>
        <v>567.8433</v>
      </c>
      <c r="D43" s="26"/>
    </row>
    <row r="44" spans="1:17" ht="34" x14ac:dyDescent="0.2">
      <c r="A44" s="41" t="s">
        <v>145</v>
      </c>
      <c r="B44" s="85" t="s">
        <v>272</v>
      </c>
      <c r="C44" s="97">
        <f>SUMIFS(T_Prestamos[Garantía],T_Prestamos[Estado final],"Activo")+SUMIFS(T_Prestamos[Garantía],T_Prestamos[Estado final],"Judicializado")</f>
        <v>450000</v>
      </c>
      <c r="D44" s="26"/>
      <c r="E44" s="49"/>
      <c r="F44" s="49"/>
      <c r="G44" s="49"/>
      <c r="H44" s="49"/>
      <c r="I44" s="49"/>
      <c r="J44" s="49"/>
      <c r="K44" s="49"/>
      <c r="L44" s="49"/>
      <c r="M44" s="49"/>
      <c r="N44" s="50"/>
      <c r="O44" s="50"/>
      <c r="P44" s="57"/>
      <c r="Q44" s="59"/>
    </row>
    <row r="45" spans="1:17" ht="51" x14ac:dyDescent="0.2">
      <c r="A45" s="41" t="s">
        <v>273</v>
      </c>
      <c r="B45" s="85" t="s">
        <v>274</v>
      </c>
      <c r="C45" s="97">
        <f>SUMIFS(T_CCP[Garantías part.],T_CCP[Estado final],"Activo")+SUMIFS(T_CCP[Garantías part.],T_CCP[Estado final],"Judicializado")</f>
        <v>100000</v>
      </c>
      <c r="D45" s="26"/>
      <c r="E45" s="49"/>
      <c r="F45" s="49"/>
      <c r="G45" s="49"/>
      <c r="H45" s="49"/>
      <c r="I45" s="49"/>
      <c r="J45" s="49"/>
      <c r="K45" s="49"/>
      <c r="L45" s="49"/>
      <c r="M45" s="49"/>
      <c r="N45" s="50"/>
      <c r="O45" s="50"/>
      <c r="P45" s="57"/>
      <c r="Q45" s="59"/>
    </row>
    <row r="46" spans="1:17" x14ac:dyDescent="0.2">
      <c r="A46" s="49"/>
      <c r="B46" s="49"/>
      <c r="C46" s="98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50"/>
      <c r="O46" s="50"/>
      <c r="P46" s="57"/>
      <c r="Q46" s="59"/>
    </row>
    <row r="47" spans="1:17" x14ac:dyDescent="0.2">
      <c r="F47" s="49"/>
      <c r="G47" s="49"/>
    </row>
    <row r="48" spans="1:17" x14ac:dyDescent="0.2">
      <c r="A48" s="80" t="s">
        <v>278</v>
      </c>
      <c r="B48" s="80"/>
      <c r="C48" s="96"/>
      <c r="D48" s="80"/>
      <c r="E48" s="80"/>
      <c r="F48" s="49"/>
      <c r="G48" s="49"/>
    </row>
    <row r="49" spans="1:7" ht="17" x14ac:dyDescent="0.2">
      <c r="A49" s="36" t="s">
        <v>119</v>
      </c>
      <c r="B49" s="36" t="s">
        <v>120</v>
      </c>
      <c r="C49" s="36" t="s">
        <v>121</v>
      </c>
      <c r="D49" s="36" t="s">
        <v>122</v>
      </c>
      <c r="E49" s="36" t="s">
        <v>16</v>
      </c>
      <c r="F49" s="49"/>
      <c r="G49" s="49"/>
    </row>
    <row r="50" spans="1:7" ht="17" x14ac:dyDescent="0.2">
      <c r="A50" s="116" t="s">
        <v>123</v>
      </c>
      <c r="B50" s="117" t="s">
        <v>124</v>
      </c>
      <c r="C50" s="117" t="s">
        <v>240</v>
      </c>
      <c r="D50" s="86">
        <f>C33</f>
        <v>140000</v>
      </c>
      <c r="E50" s="117"/>
      <c r="F50" s="49"/>
      <c r="G50" s="49"/>
    </row>
    <row r="51" spans="1:7" ht="17" x14ac:dyDescent="0.2">
      <c r="A51" s="116" t="s">
        <v>125</v>
      </c>
      <c r="B51" s="117" t="s">
        <v>124</v>
      </c>
      <c r="C51" s="117" t="s">
        <v>137</v>
      </c>
      <c r="D51" s="86">
        <f>C34</f>
        <v>130824.04000000001</v>
      </c>
      <c r="E51" s="117"/>
      <c r="F51" s="49"/>
      <c r="G51" s="49"/>
    </row>
    <row r="52" spans="1:7" ht="17" x14ac:dyDescent="0.2">
      <c r="A52" s="116" t="s">
        <v>126</v>
      </c>
      <c r="B52" s="117" t="s">
        <v>124</v>
      </c>
      <c r="C52" s="117" t="s">
        <v>233</v>
      </c>
      <c r="D52" s="86">
        <f>C35</f>
        <v>56784.33</v>
      </c>
      <c r="E52" s="117"/>
      <c r="F52" s="49"/>
      <c r="G52" s="49"/>
    </row>
    <row r="53" spans="1:7" ht="17" x14ac:dyDescent="0.2">
      <c r="A53" s="116" t="s">
        <v>127</v>
      </c>
      <c r="B53" s="117" t="s">
        <v>124</v>
      </c>
      <c r="C53" s="117" t="s">
        <v>189</v>
      </c>
      <c r="D53" s="86">
        <f>C38</f>
        <v>74039.710000000006</v>
      </c>
      <c r="E53" s="117"/>
      <c r="F53" s="49"/>
      <c r="G53" s="49"/>
    </row>
    <row r="54" spans="1:7" ht="17" x14ac:dyDescent="0.2">
      <c r="A54" s="116" t="s">
        <v>128</v>
      </c>
      <c r="B54" s="117" t="s">
        <v>124</v>
      </c>
      <c r="C54" s="117" t="s">
        <v>129</v>
      </c>
      <c r="D54" s="87">
        <f>D53/(D53+D52)</f>
        <v>0.56594881185445733</v>
      </c>
      <c r="E54" s="117"/>
      <c r="F54" s="49"/>
      <c r="G54" s="49"/>
    </row>
    <row r="55" spans="1:7" ht="17" x14ac:dyDescent="0.2">
      <c r="A55" s="116" t="s">
        <v>130</v>
      </c>
      <c r="B55" s="117" t="s">
        <v>124</v>
      </c>
      <c r="C55" s="117" t="s">
        <v>253</v>
      </c>
      <c r="D55" s="86">
        <f>C39</f>
        <v>28392.165000000001</v>
      </c>
      <c r="E55" s="117"/>
      <c r="F55" s="49"/>
      <c r="G55" s="49"/>
    </row>
    <row r="56" spans="1:7" ht="17" x14ac:dyDescent="0.2">
      <c r="A56" s="116" t="s">
        <v>184</v>
      </c>
      <c r="B56" s="117" t="s">
        <v>124</v>
      </c>
      <c r="C56" s="117" t="s">
        <v>254</v>
      </c>
      <c r="D56" s="86">
        <f>C40</f>
        <v>0</v>
      </c>
      <c r="E56" s="117"/>
      <c r="F56" s="49"/>
      <c r="G56" s="49"/>
    </row>
    <row r="57" spans="1:7" ht="17" x14ac:dyDescent="0.2">
      <c r="A57" s="118" t="s">
        <v>185</v>
      </c>
      <c r="B57" s="119" t="s">
        <v>124</v>
      </c>
      <c r="C57" s="119" t="s">
        <v>129</v>
      </c>
      <c r="D57" s="91">
        <f>D56/(D55+D56)</f>
        <v>0</v>
      </c>
      <c r="E57" s="119"/>
      <c r="F57" s="49"/>
      <c r="G57" s="49"/>
    </row>
    <row r="58" spans="1:7" ht="17" x14ac:dyDescent="0.2">
      <c r="A58" s="120" t="s">
        <v>192</v>
      </c>
      <c r="B58" s="121" t="s">
        <v>199</v>
      </c>
      <c r="C58" s="121" t="s">
        <v>188</v>
      </c>
      <c r="D58" s="92">
        <f>C41</f>
        <v>3963.8757846049866</v>
      </c>
      <c r="E58" s="121" t="s">
        <v>265</v>
      </c>
      <c r="F58" s="49"/>
      <c r="G58" s="49"/>
    </row>
    <row r="59" spans="1:7" ht="34" x14ac:dyDescent="0.2">
      <c r="A59" s="116" t="s">
        <v>193</v>
      </c>
      <c r="B59" s="117" t="s">
        <v>199</v>
      </c>
      <c r="C59" s="117" t="s">
        <v>266</v>
      </c>
      <c r="D59" s="86">
        <f>C42</f>
        <v>1981.9378923024933</v>
      </c>
      <c r="E59" s="117" t="s">
        <v>265</v>
      </c>
      <c r="F59" s="49"/>
      <c r="G59" s="49"/>
    </row>
    <row r="60" spans="1:7" ht="34" x14ac:dyDescent="0.2">
      <c r="A60" s="116" t="s">
        <v>194</v>
      </c>
      <c r="B60" s="117" t="s">
        <v>199</v>
      </c>
      <c r="C60" s="117" t="s">
        <v>269</v>
      </c>
      <c r="D60" s="86">
        <f>C43</f>
        <v>567.8433</v>
      </c>
      <c r="E60" s="117"/>
      <c r="F60" s="49"/>
      <c r="G60" s="49"/>
    </row>
    <row r="61" spans="1:7" ht="34" x14ac:dyDescent="0.2">
      <c r="A61" s="116" t="s">
        <v>195</v>
      </c>
      <c r="B61" s="117" t="s">
        <v>199</v>
      </c>
      <c r="C61" s="117" t="s">
        <v>270</v>
      </c>
      <c r="D61" s="86">
        <f>SUM(T_Prestamos[Apertura])</f>
        <v>1200</v>
      </c>
      <c r="E61" s="117" t="s">
        <v>271</v>
      </c>
      <c r="F61" s="49"/>
      <c r="G61" s="49"/>
    </row>
    <row r="62" spans="1:7" ht="17" x14ac:dyDescent="0.2">
      <c r="A62" s="116" t="s">
        <v>196</v>
      </c>
      <c r="B62" s="117" t="s">
        <v>199</v>
      </c>
      <c r="C62" s="117" t="s">
        <v>277</v>
      </c>
      <c r="D62" s="87">
        <f>D58/D52</f>
        <v>6.9805803548355444E-2</v>
      </c>
      <c r="E62" s="117"/>
      <c r="F62" s="49"/>
      <c r="G62" s="49"/>
    </row>
    <row r="63" spans="1:7" ht="17" x14ac:dyDescent="0.2">
      <c r="A63" s="116" t="s">
        <v>197</v>
      </c>
      <c r="B63" s="117" t="s">
        <v>199</v>
      </c>
      <c r="C63" s="117" t="s">
        <v>203</v>
      </c>
      <c r="D63" s="87">
        <f>D59/D55</f>
        <v>6.9805803548355444E-2</v>
      </c>
      <c r="E63" s="117"/>
      <c r="F63" s="49"/>
      <c r="G63" s="49"/>
    </row>
    <row r="64" spans="1:7" ht="102" x14ac:dyDescent="0.2">
      <c r="A64" s="118" t="s">
        <v>198</v>
      </c>
      <c r="B64" s="119" t="s">
        <v>199</v>
      </c>
      <c r="C64" s="119" t="s">
        <v>204</v>
      </c>
      <c r="D64" s="91">
        <f>(D58-D59+D60+D61)/(D52-D55)</f>
        <v>0.13207098480522683</v>
      </c>
      <c r="E64" s="119" t="s">
        <v>280</v>
      </c>
      <c r="F64" s="49"/>
      <c r="G64" s="49"/>
    </row>
    <row r="65" spans="1:7" ht="17" x14ac:dyDescent="0.2">
      <c r="A65" s="122" t="s">
        <v>131</v>
      </c>
      <c r="B65" s="123" t="s">
        <v>132</v>
      </c>
      <c r="C65" s="123" t="s">
        <v>133</v>
      </c>
      <c r="D65" s="90">
        <f>COUNT(T_Prestamos[Principal])</f>
        <v>4</v>
      </c>
      <c r="E65" s="123"/>
      <c r="F65" s="49"/>
      <c r="G65" s="49"/>
    </row>
    <row r="66" spans="1:7" ht="17" x14ac:dyDescent="0.2">
      <c r="A66" s="122" t="s">
        <v>134</v>
      </c>
      <c r="B66" s="123" t="s">
        <v>132</v>
      </c>
      <c r="C66" s="123" t="s">
        <v>135</v>
      </c>
      <c r="D66" s="90">
        <f>COUNTIFS(T_Prestamos[Estado final],"Cancelado")</f>
        <v>2</v>
      </c>
      <c r="E66" s="123"/>
      <c r="F66" s="49"/>
      <c r="G66" s="49"/>
    </row>
    <row r="67" spans="1:7" ht="17" x14ac:dyDescent="0.2">
      <c r="A67" s="122" t="s">
        <v>136</v>
      </c>
      <c r="B67" s="123" t="s">
        <v>132</v>
      </c>
      <c r="C67" s="123" t="s">
        <v>137</v>
      </c>
      <c r="D67" s="90">
        <f>COUNTIFS(T_Prestamos[Estado final],"Activo")+COUNTIFS(T_Prestamos[Estado final],"Judicializado")</f>
        <v>2</v>
      </c>
      <c r="E67" s="123"/>
      <c r="F67" s="49"/>
      <c r="G67" s="49"/>
    </row>
    <row r="68" spans="1:7" ht="17" x14ac:dyDescent="0.2">
      <c r="A68" s="122" t="s">
        <v>138</v>
      </c>
      <c r="B68" s="123" t="s">
        <v>132</v>
      </c>
      <c r="C68" s="123" t="s">
        <v>139</v>
      </c>
      <c r="D68" s="90">
        <f>COUNTIFS(T_Prestamos[Estado final],"Judicializado")</f>
        <v>1</v>
      </c>
      <c r="E68" s="123"/>
      <c r="F68" s="49"/>
      <c r="G68" s="49"/>
    </row>
    <row r="69" spans="1:7" ht="17" x14ac:dyDescent="0.2">
      <c r="A69" s="124" t="s">
        <v>141</v>
      </c>
      <c r="B69" s="125" t="s">
        <v>132</v>
      </c>
      <c r="C69" s="125" t="s">
        <v>142</v>
      </c>
      <c r="D69" s="93">
        <f>COUNTIFS(T_Prestamos[Estado final],"Activo")</f>
        <v>1</v>
      </c>
      <c r="E69" s="125"/>
      <c r="F69" s="49"/>
      <c r="G69" s="49"/>
    </row>
    <row r="70" spans="1:7" ht="17" x14ac:dyDescent="0.2">
      <c r="A70" s="122" t="s">
        <v>143</v>
      </c>
      <c r="B70" s="123" t="s">
        <v>144</v>
      </c>
      <c r="C70" s="123" t="s">
        <v>145</v>
      </c>
      <c r="D70" s="86">
        <f>C44</f>
        <v>450000</v>
      </c>
      <c r="E70" s="123"/>
      <c r="F70" s="49"/>
      <c r="G70" s="49"/>
    </row>
    <row r="71" spans="1:7" ht="17" x14ac:dyDescent="0.2">
      <c r="A71" s="122" t="s">
        <v>146</v>
      </c>
      <c r="B71" s="123" t="s">
        <v>144</v>
      </c>
      <c r="C71" s="123" t="s">
        <v>147</v>
      </c>
      <c r="D71" s="87">
        <f>D51/D70</f>
        <v>0.29072008888888889</v>
      </c>
      <c r="E71" s="123"/>
      <c r="F71" s="49"/>
      <c r="G71" s="49"/>
    </row>
    <row r="72" spans="1:7" ht="17" x14ac:dyDescent="0.2">
      <c r="A72" s="122" t="s">
        <v>148</v>
      </c>
      <c r="B72" s="123" t="s">
        <v>144</v>
      </c>
      <c r="C72" s="123" t="s">
        <v>149</v>
      </c>
      <c r="D72" s="86">
        <f>C45</f>
        <v>100000</v>
      </c>
      <c r="E72" s="123"/>
      <c r="F72" s="49"/>
      <c r="G72" s="49"/>
    </row>
    <row r="73" spans="1:7" ht="17" x14ac:dyDescent="0.2">
      <c r="A73" s="124" t="s">
        <v>150</v>
      </c>
      <c r="B73" s="125" t="s">
        <v>144</v>
      </c>
      <c r="C73" s="125" t="s">
        <v>151</v>
      </c>
      <c r="D73" s="91">
        <f>(D55+D56)/D72</f>
        <v>0.28392165000000003</v>
      </c>
      <c r="E73" s="125"/>
      <c r="F73" s="49"/>
      <c r="G73" s="49"/>
    </row>
    <row r="74" spans="1:7" ht="17" x14ac:dyDescent="0.2">
      <c r="A74" s="122" t="s">
        <v>152</v>
      </c>
      <c r="B74" s="123" t="s">
        <v>153</v>
      </c>
      <c r="C74" s="123" t="s">
        <v>154</v>
      </c>
      <c r="D74" s="90">
        <f>AVERAGEIFS(T_Prestamos[Meses],T_Prestamos[Estado final],"&lt;&gt;Cancelado")</f>
        <v>12</v>
      </c>
      <c r="E74" s="123"/>
      <c r="F74" s="49"/>
      <c r="G74" s="49"/>
    </row>
    <row r="75" spans="1:7" ht="17" x14ac:dyDescent="0.2">
      <c r="A75" s="122" t="s">
        <v>155</v>
      </c>
      <c r="B75" s="123" t="s">
        <v>153</v>
      </c>
      <c r="C75" s="123" t="s">
        <v>156</v>
      </c>
      <c r="D75" s="90">
        <f>AVERAGEIFS(T_Prestamos[Meses],T_Prestamos[Estado final],"Activo")</f>
        <v>7</v>
      </c>
      <c r="E75" s="123"/>
      <c r="F75" s="49"/>
      <c r="G75" s="49"/>
    </row>
    <row r="76" spans="1:7" ht="34" x14ac:dyDescent="0.2">
      <c r="A76" s="122" t="s">
        <v>157</v>
      </c>
      <c r="B76" s="123" t="s">
        <v>153</v>
      </c>
      <c r="C76" s="123" t="s">
        <v>158</v>
      </c>
      <c r="D76" s="90">
        <f>IFERROR(AVERAGEIFS(T_Prestamos[Meses],T_Prestamos[Estado final],"Judicializado"),0)</f>
        <v>17</v>
      </c>
      <c r="E76" s="123"/>
      <c r="F76" s="49"/>
      <c r="G76" s="49"/>
    </row>
    <row r="77" spans="1:7" x14ac:dyDescent="0.2">
      <c r="A77" s="22"/>
      <c r="B77" s="22"/>
      <c r="C77" s="100"/>
      <c r="D77" s="22"/>
      <c r="E77" s="22"/>
      <c r="F77" s="49"/>
      <c r="G77" s="49"/>
    </row>
    <row r="78" spans="1:7" x14ac:dyDescent="0.2">
      <c r="F78" s="49"/>
      <c r="G78" s="49"/>
    </row>
    <row r="79" spans="1:7" x14ac:dyDescent="0.2">
      <c r="F79" s="49"/>
      <c r="G79" s="49"/>
    </row>
    <row r="80" spans="1:7" x14ac:dyDescent="0.2">
      <c r="F80" s="49"/>
      <c r="G80" s="49"/>
    </row>
  </sheetData>
  <mergeCells count="1">
    <mergeCell ref="A1:F1"/>
  </mergeCells>
  <phoneticPr fontId="14" type="noConversion"/>
  <pageMargins left="0.75" right="0.75" top="1" bottom="1" header="0.511811023622047" footer="0.511811023622047"/>
  <pageSetup paperSize="9" orientation="portrait" horizontalDpi="300" verticalDpi="300"/>
  <legacy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zoomScaleNormal="100" workbookViewId="0">
      <selection activeCell="A10" sqref="A10"/>
    </sheetView>
  </sheetViews>
  <sheetFormatPr baseColWidth="10" defaultColWidth="8.6640625" defaultRowHeight="15" x14ac:dyDescent="0.2"/>
  <cols>
    <col min="1" max="1" width="110" customWidth="1"/>
  </cols>
  <sheetData>
    <row r="1" spans="1:1" ht="17" x14ac:dyDescent="0.2">
      <c r="A1" s="15" t="s">
        <v>159</v>
      </c>
    </row>
    <row r="2" spans="1:1" x14ac:dyDescent="0.2">
      <c r="A2" s="16"/>
    </row>
    <row r="3" spans="1:1" x14ac:dyDescent="0.2">
      <c r="A3" s="17" t="s">
        <v>160</v>
      </c>
    </row>
    <row r="4" spans="1:1" x14ac:dyDescent="0.2">
      <c r="A4" s="16" t="s">
        <v>161</v>
      </c>
    </row>
    <row r="5" spans="1:1" x14ac:dyDescent="0.2">
      <c r="A5" s="16" t="s">
        <v>162</v>
      </c>
    </row>
    <row r="6" spans="1:1" x14ac:dyDescent="0.2">
      <c r="A6" s="16" t="s">
        <v>163</v>
      </c>
    </row>
    <row r="7" spans="1:1" x14ac:dyDescent="0.2">
      <c r="A7" s="16" t="s">
        <v>164</v>
      </c>
    </row>
    <row r="8" spans="1:1" x14ac:dyDescent="0.2">
      <c r="A8" s="16"/>
    </row>
    <row r="9" spans="1:1" x14ac:dyDescent="0.2">
      <c r="A9" s="17" t="s">
        <v>165</v>
      </c>
    </row>
    <row r="10" spans="1:1" x14ac:dyDescent="0.2">
      <c r="A10" s="16" t="s">
        <v>166</v>
      </c>
    </row>
    <row r="11" spans="1:1" x14ac:dyDescent="0.2">
      <c r="A11" s="16" t="s">
        <v>167</v>
      </c>
    </row>
    <row r="12" spans="1:1" x14ac:dyDescent="0.2">
      <c r="A12" s="16" t="s">
        <v>168</v>
      </c>
    </row>
    <row r="13" spans="1:1" x14ac:dyDescent="0.2">
      <c r="A13" s="16"/>
    </row>
    <row r="14" spans="1:1" x14ac:dyDescent="0.2">
      <c r="A14" s="17" t="s">
        <v>169</v>
      </c>
    </row>
    <row r="15" spans="1:1" x14ac:dyDescent="0.2">
      <c r="A15" s="16" t="s">
        <v>170</v>
      </c>
    </row>
    <row r="16" spans="1:1" x14ac:dyDescent="0.2">
      <c r="A16" s="16" t="s">
        <v>171</v>
      </c>
    </row>
    <row r="17" spans="1:1" x14ac:dyDescent="0.2">
      <c r="A17" s="16" t="s">
        <v>172</v>
      </c>
    </row>
    <row r="18" spans="1:1" x14ac:dyDescent="0.2">
      <c r="A18" s="16" t="s">
        <v>173</v>
      </c>
    </row>
    <row r="19" spans="1:1" x14ac:dyDescent="0.2">
      <c r="A19" s="16" t="s">
        <v>174</v>
      </c>
    </row>
    <row r="20" spans="1:1" x14ac:dyDescent="0.2">
      <c r="A20" s="16"/>
    </row>
    <row r="21" spans="1:1" x14ac:dyDescent="0.2">
      <c r="A21" s="17" t="s">
        <v>175</v>
      </c>
    </row>
    <row r="22" spans="1:1" x14ac:dyDescent="0.2">
      <c r="A22" s="17" t="s">
        <v>176</v>
      </c>
    </row>
    <row r="23" spans="1:1" x14ac:dyDescent="0.2">
      <c r="A23" s="16" t="s">
        <v>177</v>
      </c>
    </row>
    <row r="24" spans="1:1" x14ac:dyDescent="0.2">
      <c r="A24" s="16" t="s">
        <v>178</v>
      </c>
    </row>
    <row r="25" spans="1:1" x14ac:dyDescent="0.2">
      <c r="A25" s="16"/>
    </row>
    <row r="26" spans="1:1" x14ac:dyDescent="0.2">
      <c r="A26" s="17" t="s">
        <v>179</v>
      </c>
    </row>
    <row r="27" spans="1:1" x14ac:dyDescent="0.2">
      <c r="A27" s="16" t="s">
        <v>180</v>
      </c>
    </row>
    <row r="28" spans="1:1" x14ac:dyDescent="0.2">
      <c r="A28" s="16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68B0-6A49-5047-9A24-4834DA0E9EFE}">
  <dimension ref="A1:H17"/>
  <sheetViews>
    <sheetView workbookViewId="0">
      <pane ySplit="2" topLeftCell="A3" activePane="bottomLeft" state="frozen"/>
      <selection activeCell="D17" sqref="D17"/>
      <selection pane="bottomLeft" activeCell="E30" sqref="E30"/>
    </sheetView>
  </sheetViews>
  <sheetFormatPr baseColWidth="10" defaultColWidth="8.83203125" defaultRowHeight="15" x14ac:dyDescent="0.2"/>
  <cols>
    <col min="1" max="1" width="8" style="129" customWidth="1"/>
    <col min="2" max="2" width="12" style="129" customWidth="1"/>
    <col min="3" max="3" width="18" style="129" customWidth="1"/>
    <col min="4" max="4" width="22" style="129" customWidth="1"/>
    <col min="5" max="5" width="40" style="129" customWidth="1"/>
    <col min="6" max="16384" width="8.83203125" style="129"/>
  </cols>
  <sheetData>
    <row r="1" spans="1:8" ht="40" customHeight="1" x14ac:dyDescent="0.2">
      <c r="A1" s="140" t="s">
        <v>291</v>
      </c>
      <c r="B1" s="141"/>
      <c r="C1" s="141"/>
      <c r="D1" s="141"/>
      <c r="E1" s="141"/>
      <c r="F1" s="141"/>
      <c r="G1" s="141"/>
      <c r="H1" s="141"/>
    </row>
    <row r="2" spans="1:8" ht="18" customHeight="1" x14ac:dyDescent="0.2">
      <c r="A2" s="130" t="s">
        <v>2</v>
      </c>
      <c r="B2" s="130" t="s">
        <v>292</v>
      </c>
      <c r="C2" s="130" t="s">
        <v>293</v>
      </c>
      <c r="D2" s="130" t="s">
        <v>294</v>
      </c>
      <c r="E2" s="130" t="s">
        <v>16</v>
      </c>
    </row>
    <row r="3" spans="1:8" ht="18" customHeight="1" x14ac:dyDescent="0.2">
      <c r="A3" s="131" t="s">
        <v>295</v>
      </c>
      <c r="B3" s="131" t="s">
        <v>296</v>
      </c>
      <c r="C3" s="132">
        <v>1234.56</v>
      </c>
      <c r="D3" s="133" t="s">
        <v>297</v>
      </c>
      <c r="E3" s="134" t="s">
        <v>298</v>
      </c>
    </row>
    <row r="4" spans="1:8" ht="18" customHeight="1" x14ac:dyDescent="0.2">
      <c r="A4" s="131" t="s">
        <v>299</v>
      </c>
      <c r="B4" s="131" t="s">
        <v>296</v>
      </c>
      <c r="C4" s="132">
        <v>-1234.56</v>
      </c>
      <c r="D4" s="133" t="s">
        <v>300</v>
      </c>
      <c r="E4" s="134" t="s">
        <v>301</v>
      </c>
    </row>
    <row r="5" spans="1:8" ht="18" customHeight="1" x14ac:dyDescent="0.2">
      <c r="A5" s="131" t="s">
        <v>302</v>
      </c>
      <c r="B5" s="131" t="s">
        <v>296</v>
      </c>
      <c r="C5" s="132">
        <v>0</v>
      </c>
      <c r="D5" s="133" t="s">
        <v>303</v>
      </c>
      <c r="E5" s="134" t="s">
        <v>304</v>
      </c>
    </row>
    <row r="6" spans="1:8" ht="18" customHeight="1" x14ac:dyDescent="0.2">
      <c r="A6" s="131" t="s">
        <v>305</v>
      </c>
      <c r="B6" s="131" t="s">
        <v>296</v>
      </c>
      <c r="C6" s="132">
        <v>1000000</v>
      </c>
      <c r="D6" s="133" t="s">
        <v>306</v>
      </c>
      <c r="E6" s="134" t="s">
        <v>307</v>
      </c>
    </row>
    <row r="7" spans="1:8" ht="18" customHeight="1" x14ac:dyDescent="0.2">
      <c r="A7" s="131" t="s">
        <v>308</v>
      </c>
      <c r="B7" s="131" t="s">
        <v>296</v>
      </c>
      <c r="C7" s="132">
        <v>0.5</v>
      </c>
      <c r="D7" s="133" t="s">
        <v>309</v>
      </c>
      <c r="E7" s="134" t="s">
        <v>310</v>
      </c>
    </row>
    <row r="8" spans="1:8" ht="18" customHeight="1" x14ac:dyDescent="0.2">
      <c r="A8" s="131" t="s">
        <v>311</v>
      </c>
      <c r="B8" s="131" t="s">
        <v>296</v>
      </c>
      <c r="C8" s="132"/>
      <c r="D8" s="133" t="s">
        <v>312</v>
      </c>
      <c r="E8" s="134" t="s">
        <v>313</v>
      </c>
    </row>
    <row r="9" spans="1:8" ht="18" customHeight="1" x14ac:dyDescent="0.2">
      <c r="A9" s="131" t="s">
        <v>314</v>
      </c>
      <c r="B9" s="131" t="s">
        <v>315</v>
      </c>
      <c r="C9" s="132">
        <v>1234.56</v>
      </c>
      <c r="D9" s="133" t="s">
        <v>316</v>
      </c>
      <c r="E9" s="134" t="s">
        <v>317</v>
      </c>
    </row>
    <row r="10" spans="1:8" ht="18" customHeight="1" x14ac:dyDescent="0.2">
      <c r="A10" s="131" t="s">
        <v>318</v>
      </c>
      <c r="B10" s="131" t="s">
        <v>315</v>
      </c>
      <c r="C10" s="132">
        <v>1000000</v>
      </c>
      <c r="D10" s="133" t="s">
        <v>319</v>
      </c>
      <c r="E10" s="134" t="s">
        <v>320</v>
      </c>
    </row>
    <row r="11" spans="1:8" ht="18" customHeight="1" x14ac:dyDescent="0.2">
      <c r="A11" s="131" t="s">
        <v>321</v>
      </c>
      <c r="B11" s="131" t="s">
        <v>315</v>
      </c>
      <c r="C11" s="132"/>
      <c r="D11" s="133" t="s">
        <v>312</v>
      </c>
      <c r="E11" s="134" t="s">
        <v>313</v>
      </c>
    </row>
    <row r="12" spans="1:8" ht="18" customHeight="1" x14ac:dyDescent="0.2">
      <c r="A12" s="131" t="s">
        <v>322</v>
      </c>
      <c r="B12" s="131" t="s">
        <v>323</v>
      </c>
      <c r="C12" s="132">
        <v>1234.56</v>
      </c>
      <c r="D12" s="133" t="s">
        <v>324</v>
      </c>
      <c r="E12" s="134" t="s">
        <v>325</v>
      </c>
    </row>
    <row r="13" spans="1:8" ht="18" customHeight="1" x14ac:dyDescent="0.2">
      <c r="A13" s="131" t="s">
        <v>326</v>
      </c>
      <c r="B13" s="131" t="s">
        <v>323</v>
      </c>
      <c r="C13" s="132">
        <v>-500</v>
      </c>
      <c r="D13" s="133" t="s">
        <v>327</v>
      </c>
      <c r="E13" s="134" t="s">
        <v>328</v>
      </c>
    </row>
    <row r="14" spans="1:8" ht="18" customHeight="1" x14ac:dyDescent="0.2">
      <c r="A14" s="131" t="s">
        <v>329</v>
      </c>
      <c r="B14" s="131" t="s">
        <v>323</v>
      </c>
      <c r="C14" s="132"/>
      <c r="D14" s="133" t="s">
        <v>312</v>
      </c>
      <c r="E14" s="134" t="s">
        <v>313</v>
      </c>
    </row>
    <row r="15" spans="1:8" ht="18" customHeight="1" x14ac:dyDescent="0.2">
      <c r="A15" s="131" t="s">
        <v>330</v>
      </c>
      <c r="B15" s="131" t="s">
        <v>331</v>
      </c>
      <c r="C15" s="132">
        <v>1234.56</v>
      </c>
      <c r="D15" s="133" t="s">
        <v>332</v>
      </c>
      <c r="E15" s="134" t="s">
        <v>333</v>
      </c>
    </row>
    <row r="16" spans="1:8" ht="18" customHeight="1" x14ac:dyDescent="0.2">
      <c r="A16" s="131" t="s">
        <v>334</v>
      </c>
      <c r="B16" s="131" t="s">
        <v>331</v>
      </c>
      <c r="C16" s="132">
        <v>-1234.56</v>
      </c>
      <c r="D16" s="133" t="s">
        <v>335</v>
      </c>
      <c r="E16" s="134" t="s">
        <v>328</v>
      </c>
    </row>
    <row r="17" spans="1:5" ht="18" customHeight="1" x14ac:dyDescent="0.2">
      <c r="A17" s="131" t="s">
        <v>336</v>
      </c>
      <c r="B17" s="131" t="s">
        <v>331</v>
      </c>
      <c r="C17" s="132"/>
      <c r="D17" s="133" t="s">
        <v>312</v>
      </c>
      <c r="E17" s="134" t="s">
        <v>313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7AD8-CBB5-1A42-93F1-A16E7D07A8F6}">
  <dimension ref="A1:H13"/>
  <sheetViews>
    <sheetView workbookViewId="0">
      <pane ySplit="2" topLeftCell="A3" activePane="bottomLeft" state="frozen"/>
      <selection activeCell="D17" sqref="D17"/>
      <selection pane="bottomLeft" activeCell="D17" sqref="D17"/>
    </sheetView>
  </sheetViews>
  <sheetFormatPr baseColWidth="10" defaultColWidth="8.83203125" defaultRowHeight="15" x14ac:dyDescent="0.2"/>
  <cols>
    <col min="1" max="1" width="8" style="129" customWidth="1"/>
    <col min="2" max="2" width="22" style="129" customWidth="1"/>
    <col min="3" max="3" width="35" style="129" customWidth="1"/>
    <col min="4" max="4" width="18" style="129" customWidth="1"/>
    <col min="5" max="5" width="28" style="129" customWidth="1"/>
    <col min="6" max="6" width="35" style="129" customWidth="1"/>
    <col min="7" max="16384" width="8.83203125" style="129"/>
  </cols>
  <sheetData>
    <row r="1" spans="1:8" ht="40" customHeight="1" x14ac:dyDescent="0.2">
      <c r="A1" s="140" t="s">
        <v>337</v>
      </c>
      <c r="B1" s="141"/>
      <c r="C1" s="141"/>
      <c r="D1" s="141"/>
      <c r="E1" s="141"/>
      <c r="F1" s="141"/>
      <c r="G1" s="141"/>
      <c r="H1" s="141"/>
    </row>
    <row r="2" spans="1:8" ht="18" customHeight="1" x14ac:dyDescent="0.2">
      <c r="A2" s="130" t="s">
        <v>2</v>
      </c>
      <c r="B2" s="130" t="s">
        <v>292</v>
      </c>
      <c r="C2" s="130" t="s">
        <v>338</v>
      </c>
      <c r="D2" s="130" t="s">
        <v>122</v>
      </c>
      <c r="E2" s="130" t="s">
        <v>339</v>
      </c>
      <c r="F2" s="130" t="s">
        <v>16</v>
      </c>
    </row>
    <row r="3" spans="1:8" ht="18" customHeight="1" x14ac:dyDescent="0.2">
      <c r="A3" s="131" t="s">
        <v>340</v>
      </c>
      <c r="B3" s="131" t="s">
        <v>341</v>
      </c>
      <c r="C3" s="132" t="s">
        <v>342</v>
      </c>
      <c r="D3" s="133">
        <v>500</v>
      </c>
      <c r="E3" s="134" t="s">
        <v>343</v>
      </c>
      <c r="F3" s="134" t="s">
        <v>344</v>
      </c>
    </row>
    <row r="4" spans="1:8" ht="18" customHeight="1" x14ac:dyDescent="0.2">
      <c r="A4" s="131" t="s">
        <v>345</v>
      </c>
      <c r="B4" s="131" t="s">
        <v>341</v>
      </c>
      <c r="C4" s="132" t="s">
        <v>346</v>
      </c>
      <c r="D4" s="133">
        <v>400</v>
      </c>
      <c r="E4" s="134" t="s">
        <v>347</v>
      </c>
      <c r="F4" s="134" t="s">
        <v>348</v>
      </c>
    </row>
    <row r="5" spans="1:8" ht="18" customHeight="1" x14ac:dyDescent="0.2">
      <c r="A5" s="131" t="s">
        <v>349</v>
      </c>
      <c r="B5" s="131" t="s">
        <v>341</v>
      </c>
      <c r="C5" s="132" t="s">
        <v>350</v>
      </c>
      <c r="D5" s="133">
        <v>600</v>
      </c>
      <c r="E5" s="134" t="s">
        <v>351</v>
      </c>
      <c r="F5" s="134" t="s">
        <v>352</v>
      </c>
    </row>
    <row r="6" spans="1:8" ht="18" customHeight="1" x14ac:dyDescent="0.2">
      <c r="A6" s="131" t="s">
        <v>353</v>
      </c>
      <c r="B6" s="131" t="s">
        <v>341</v>
      </c>
      <c r="C6" s="132" t="s">
        <v>354</v>
      </c>
      <c r="D6" s="133">
        <v>0</v>
      </c>
      <c r="E6" s="134" t="s">
        <v>355</v>
      </c>
      <c r="F6" s="134" t="s">
        <v>356</v>
      </c>
    </row>
    <row r="7" spans="1:8" ht="18" customHeight="1" x14ac:dyDescent="0.2">
      <c r="A7" s="131" t="s">
        <v>357</v>
      </c>
      <c r="B7" s="131" t="s">
        <v>358</v>
      </c>
      <c r="C7" s="132" t="s">
        <v>359</v>
      </c>
      <c r="D7" s="133">
        <v>115.07</v>
      </c>
      <c r="E7" s="134" t="s">
        <v>360</v>
      </c>
      <c r="F7" s="134" t="s">
        <v>361</v>
      </c>
    </row>
    <row r="8" spans="1:8" ht="18" customHeight="1" x14ac:dyDescent="0.2">
      <c r="A8" s="131" t="s">
        <v>362</v>
      </c>
      <c r="B8" s="131" t="s">
        <v>358</v>
      </c>
      <c r="C8" s="132" t="s">
        <v>363</v>
      </c>
      <c r="D8" s="133">
        <v>0</v>
      </c>
      <c r="E8" s="134" t="s">
        <v>364</v>
      </c>
      <c r="F8" s="134" t="s">
        <v>365</v>
      </c>
    </row>
    <row r="9" spans="1:8" ht="18" customHeight="1" x14ac:dyDescent="0.2">
      <c r="A9" s="131" t="s">
        <v>366</v>
      </c>
      <c r="B9" s="131" t="s">
        <v>358</v>
      </c>
      <c r="C9" s="132" t="s">
        <v>367</v>
      </c>
      <c r="D9" s="133">
        <v>1400</v>
      </c>
      <c r="E9" s="134" t="s">
        <v>368</v>
      </c>
      <c r="F9" s="134" t="s">
        <v>369</v>
      </c>
    </row>
    <row r="10" spans="1:8" ht="18" customHeight="1" x14ac:dyDescent="0.2">
      <c r="A10" s="131" t="s">
        <v>370</v>
      </c>
      <c r="B10" s="131" t="s">
        <v>358</v>
      </c>
      <c r="C10" s="132" t="s">
        <v>371</v>
      </c>
      <c r="D10" s="133">
        <v>1232.8800000000001</v>
      </c>
      <c r="E10" s="134" t="s">
        <v>372</v>
      </c>
      <c r="F10" s="134" t="s">
        <v>373</v>
      </c>
    </row>
    <row r="11" spans="1:8" ht="18" customHeight="1" x14ac:dyDescent="0.2">
      <c r="A11" s="131" t="s">
        <v>374</v>
      </c>
      <c r="B11" s="131" t="s">
        <v>375</v>
      </c>
      <c r="C11" s="132" t="s">
        <v>376</v>
      </c>
      <c r="D11" s="133" t="s">
        <v>377</v>
      </c>
      <c r="E11" s="134" t="s">
        <v>378</v>
      </c>
      <c r="F11" s="134" t="s">
        <v>379</v>
      </c>
    </row>
    <row r="12" spans="1:8" ht="18" customHeight="1" x14ac:dyDescent="0.2">
      <c r="A12" s="131" t="s">
        <v>380</v>
      </c>
      <c r="B12" s="131" t="s">
        <v>375</v>
      </c>
      <c r="C12" s="132" t="s">
        <v>381</v>
      </c>
      <c r="D12" s="133" t="s">
        <v>382</v>
      </c>
      <c r="E12" s="134" t="s">
        <v>383</v>
      </c>
      <c r="F12" s="134" t="s">
        <v>384</v>
      </c>
    </row>
    <row r="13" spans="1:8" ht="18" customHeight="1" x14ac:dyDescent="0.2">
      <c r="A13" s="131" t="s">
        <v>385</v>
      </c>
      <c r="B13" s="131" t="s">
        <v>375</v>
      </c>
      <c r="C13" s="132" t="s">
        <v>386</v>
      </c>
      <c r="D13" s="133" t="s">
        <v>84</v>
      </c>
      <c r="E13" s="134" t="s">
        <v>312</v>
      </c>
      <c r="F13" s="134" t="s">
        <v>387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F6A3-0625-9544-860E-1921109565C4}">
  <dimension ref="A1:J13"/>
  <sheetViews>
    <sheetView tabSelected="1" workbookViewId="0">
      <pane ySplit="3" topLeftCell="A4" activePane="bottomLeft" state="frozen"/>
      <selection activeCell="D17" sqref="D17"/>
      <selection pane="bottomLeft" activeCell="F8" sqref="F8"/>
    </sheetView>
  </sheetViews>
  <sheetFormatPr baseColWidth="10" defaultColWidth="8.83203125" defaultRowHeight="15" x14ac:dyDescent="0.2"/>
  <cols>
    <col min="1" max="1" width="8" style="129" customWidth="1"/>
    <col min="2" max="2" width="35" style="129" customWidth="1"/>
    <col min="3" max="3" width="20" style="129" customWidth="1"/>
    <col min="4" max="4" width="10" style="129" customWidth="1"/>
    <col min="5" max="5" width="22" style="129" customWidth="1"/>
    <col min="6" max="6" width="14" style="129" customWidth="1"/>
    <col min="7" max="7" width="18" style="129" customWidth="1"/>
    <col min="8" max="9" width="16" style="129" customWidth="1"/>
    <col min="10" max="10" width="40" style="129" customWidth="1"/>
    <col min="11" max="16384" width="8.83203125" style="129"/>
  </cols>
  <sheetData>
    <row r="1" spans="1:10" ht="50" customHeight="1" x14ac:dyDescent="0.2">
      <c r="A1" s="140" t="s">
        <v>388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0" ht="45" customHeight="1" x14ac:dyDescent="0.2">
      <c r="A2" s="142" t="s">
        <v>389</v>
      </c>
      <c r="B2" s="141"/>
      <c r="C2" s="141"/>
      <c r="D2" s="141"/>
      <c r="E2" s="141"/>
      <c r="F2" s="141"/>
      <c r="G2" s="141"/>
      <c r="H2" s="141"/>
      <c r="I2" s="141"/>
      <c r="J2" s="141"/>
    </row>
    <row r="3" spans="1:10" ht="18" customHeight="1" x14ac:dyDescent="0.2">
      <c r="A3" s="130" t="s">
        <v>2</v>
      </c>
      <c r="B3" s="130" t="s">
        <v>3</v>
      </c>
      <c r="C3" s="130" t="s">
        <v>390</v>
      </c>
      <c r="D3" s="130" t="s">
        <v>11</v>
      </c>
      <c r="E3" s="130" t="s">
        <v>391</v>
      </c>
      <c r="F3" s="130" t="s">
        <v>392</v>
      </c>
      <c r="G3" s="130" t="s">
        <v>393</v>
      </c>
      <c r="H3" s="130" t="s">
        <v>394</v>
      </c>
      <c r="I3" s="130" t="s">
        <v>395</v>
      </c>
      <c r="J3" s="130" t="s">
        <v>16</v>
      </c>
    </row>
    <row r="4" spans="1:10" ht="18" customHeight="1" x14ac:dyDescent="0.2">
      <c r="A4" s="131" t="s">
        <v>396</v>
      </c>
      <c r="B4" s="131" t="s">
        <v>397</v>
      </c>
      <c r="C4" s="132" t="s">
        <v>20</v>
      </c>
      <c r="D4" s="132">
        <v>1</v>
      </c>
      <c r="E4" s="133" t="s">
        <v>398</v>
      </c>
      <c r="F4" s="133">
        <v>1</v>
      </c>
      <c r="G4" s="133">
        <v>200</v>
      </c>
      <c r="H4" s="133">
        <v>66.67</v>
      </c>
      <c r="I4" s="133">
        <v>108</v>
      </c>
      <c r="J4" s="134" t="s">
        <v>399</v>
      </c>
    </row>
    <row r="5" spans="1:10" ht="18" customHeight="1" x14ac:dyDescent="0.2">
      <c r="A5" s="131" t="s">
        <v>400</v>
      </c>
      <c r="B5" s="131" t="s">
        <v>401</v>
      </c>
      <c r="C5" s="132" t="s">
        <v>20</v>
      </c>
      <c r="D5" s="132">
        <v>2</v>
      </c>
      <c r="E5" s="133" t="s">
        <v>402</v>
      </c>
      <c r="F5" s="133">
        <v>1</v>
      </c>
      <c r="G5" s="133">
        <v>200</v>
      </c>
      <c r="H5" s="133">
        <v>66.67</v>
      </c>
      <c r="I5" s="133">
        <v>108</v>
      </c>
      <c r="J5" s="134" t="s">
        <v>403</v>
      </c>
    </row>
    <row r="6" spans="1:10" ht="18" customHeight="1" x14ac:dyDescent="0.2">
      <c r="A6" s="131" t="s">
        <v>404</v>
      </c>
      <c r="B6" s="131" t="s">
        <v>405</v>
      </c>
      <c r="C6" s="132" t="s">
        <v>20</v>
      </c>
      <c r="D6" s="132">
        <v>12</v>
      </c>
      <c r="E6" s="133" t="s">
        <v>406</v>
      </c>
      <c r="F6" s="133">
        <v>1</v>
      </c>
      <c r="G6" s="133">
        <v>200</v>
      </c>
      <c r="H6" s="133">
        <v>66.67</v>
      </c>
      <c r="I6" s="133">
        <v>108</v>
      </c>
      <c r="J6" s="134" t="s">
        <v>407</v>
      </c>
    </row>
    <row r="7" spans="1:10" ht="18" customHeight="1" x14ac:dyDescent="0.2">
      <c r="A7" s="131" t="s">
        <v>408</v>
      </c>
      <c r="B7" s="131" t="s">
        <v>409</v>
      </c>
      <c r="C7" s="132" t="s">
        <v>410</v>
      </c>
      <c r="D7" s="132">
        <v>1</v>
      </c>
      <c r="E7" s="133" t="s">
        <v>398</v>
      </c>
      <c r="F7" s="133">
        <v>0.33329999999999999</v>
      </c>
      <c r="G7" s="133">
        <v>66.67</v>
      </c>
      <c r="H7" s="133">
        <v>22.22</v>
      </c>
      <c r="I7" s="133">
        <v>36</v>
      </c>
      <c r="J7" s="134" t="s">
        <v>411</v>
      </c>
    </row>
    <row r="8" spans="1:10" ht="18" customHeight="1" x14ac:dyDescent="0.2">
      <c r="A8" s="131" t="s">
        <v>412</v>
      </c>
      <c r="B8" s="131" t="s">
        <v>413</v>
      </c>
      <c r="C8" s="132" t="s">
        <v>410</v>
      </c>
      <c r="D8" s="132">
        <v>2</v>
      </c>
      <c r="E8" s="133" t="s">
        <v>402</v>
      </c>
      <c r="F8" s="133">
        <v>1</v>
      </c>
      <c r="G8" s="133">
        <v>200</v>
      </c>
      <c r="H8" s="133">
        <v>66.67</v>
      </c>
      <c r="I8" s="133">
        <v>108</v>
      </c>
      <c r="J8" s="134" t="s">
        <v>414</v>
      </c>
    </row>
    <row r="9" spans="1:10" ht="18" customHeight="1" x14ac:dyDescent="0.2">
      <c r="A9" s="131" t="s">
        <v>415</v>
      </c>
      <c r="B9" s="131" t="s">
        <v>416</v>
      </c>
      <c r="C9" s="132" t="s">
        <v>417</v>
      </c>
      <c r="D9" s="132">
        <v>1</v>
      </c>
      <c r="E9" s="133" t="s">
        <v>402</v>
      </c>
      <c r="F9" s="133">
        <v>0</v>
      </c>
      <c r="G9" s="133">
        <v>0</v>
      </c>
      <c r="H9" s="133">
        <v>0</v>
      </c>
      <c r="I9" s="133">
        <v>0</v>
      </c>
      <c r="J9" s="134" t="s">
        <v>418</v>
      </c>
    </row>
    <row r="10" spans="1:10" ht="18" customHeight="1" x14ac:dyDescent="0.2">
      <c r="A10" s="131" t="s">
        <v>419</v>
      </c>
      <c r="B10" s="131" t="s">
        <v>420</v>
      </c>
      <c r="C10" s="132" t="s">
        <v>417</v>
      </c>
      <c r="D10" s="132">
        <v>2</v>
      </c>
      <c r="E10" s="133" t="s">
        <v>421</v>
      </c>
      <c r="F10" s="133">
        <v>0.83330000000000004</v>
      </c>
      <c r="G10" s="133">
        <v>166.67</v>
      </c>
      <c r="H10" s="133">
        <v>55.56</v>
      </c>
      <c r="I10" s="133">
        <v>90</v>
      </c>
      <c r="J10" s="134" t="s">
        <v>422</v>
      </c>
    </row>
    <row r="11" spans="1:10" ht="18" customHeight="1" x14ac:dyDescent="0.2">
      <c r="A11" s="131" t="s">
        <v>423</v>
      </c>
      <c r="B11" s="131" t="s">
        <v>424</v>
      </c>
      <c r="C11" s="132" t="s">
        <v>417</v>
      </c>
      <c r="D11" s="132">
        <v>3</v>
      </c>
      <c r="E11" s="133" t="s">
        <v>425</v>
      </c>
      <c r="F11" s="133">
        <v>1</v>
      </c>
      <c r="G11" s="133">
        <v>200</v>
      </c>
      <c r="H11" s="133">
        <v>66.67</v>
      </c>
      <c r="I11" s="133">
        <v>108</v>
      </c>
      <c r="J11" s="134" t="s">
        <v>426</v>
      </c>
    </row>
    <row r="12" spans="1:10" ht="18" customHeight="1" x14ac:dyDescent="0.2">
      <c r="A12" s="131" t="s">
        <v>427</v>
      </c>
      <c r="B12" s="131" t="s">
        <v>428</v>
      </c>
      <c r="C12" s="132" t="s">
        <v>429</v>
      </c>
      <c r="D12" s="132">
        <v>5</v>
      </c>
      <c r="E12" s="133" t="s">
        <v>430</v>
      </c>
      <c r="F12" s="133">
        <v>1</v>
      </c>
      <c r="G12" s="133">
        <v>200</v>
      </c>
      <c r="H12" s="133">
        <v>66.67</v>
      </c>
      <c r="I12" s="133">
        <v>108</v>
      </c>
      <c r="J12" s="134" t="s">
        <v>431</v>
      </c>
    </row>
    <row r="13" spans="1:10" ht="18" customHeight="1" x14ac:dyDescent="0.2">
      <c r="A13" s="131" t="s">
        <v>432</v>
      </c>
      <c r="B13" s="131" t="s">
        <v>433</v>
      </c>
      <c r="C13" s="132" t="s">
        <v>429</v>
      </c>
      <c r="D13" s="132">
        <v>6</v>
      </c>
      <c r="E13" s="133" t="s">
        <v>434</v>
      </c>
      <c r="F13" s="133">
        <v>1</v>
      </c>
      <c r="G13" s="133">
        <v>200</v>
      </c>
      <c r="H13" s="133">
        <v>66.67</v>
      </c>
      <c r="I13" s="133">
        <v>108</v>
      </c>
      <c r="J13" s="134" t="s">
        <v>435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B9A29-0C26-6E4C-BF2B-0B0F78D0FB76}">
  <dimension ref="A1:K36"/>
  <sheetViews>
    <sheetView workbookViewId="0">
      <pane ySplit="25" topLeftCell="A26" activePane="bottomLeft" state="frozen"/>
      <selection activeCell="D17" sqref="D17"/>
      <selection pane="bottomLeft" activeCell="J17" sqref="J17"/>
    </sheetView>
  </sheetViews>
  <sheetFormatPr baseColWidth="10" defaultColWidth="8.83203125" defaultRowHeight="15" x14ac:dyDescent="0.2"/>
  <cols>
    <col min="1" max="1" width="8" style="129" customWidth="1"/>
    <col min="2" max="2" width="45" style="129" customWidth="1"/>
    <col min="3" max="3" width="35" style="129" customWidth="1"/>
    <col min="4" max="4" width="25" style="129" customWidth="1"/>
    <col min="5" max="5" width="10" style="129" customWidth="1"/>
    <col min="6" max="7" width="15" style="129" customWidth="1"/>
    <col min="8" max="9" width="13" style="129" customWidth="1"/>
    <col min="10" max="10" width="35" style="129" customWidth="1"/>
    <col min="11" max="16384" width="8.83203125" style="129"/>
  </cols>
  <sheetData>
    <row r="1" spans="1:11" ht="50" customHeight="1" x14ac:dyDescent="0.2">
      <c r="A1" s="140" t="s">
        <v>436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2" spans="1:11" ht="16" x14ac:dyDescent="0.2">
      <c r="A2" s="128"/>
      <c r="B2" s="135" t="s">
        <v>186</v>
      </c>
      <c r="C2" s="143">
        <v>100000</v>
      </c>
    </row>
    <row r="3" spans="1:11" ht="16" x14ac:dyDescent="0.2">
      <c r="A3" s="128"/>
      <c r="B3" s="135" t="s">
        <v>437</v>
      </c>
      <c r="C3" s="144">
        <v>0.06</v>
      </c>
    </row>
    <row r="4" spans="1:11" ht="16" x14ac:dyDescent="0.2">
      <c r="A4" s="128"/>
      <c r="B4" s="135" t="s">
        <v>438</v>
      </c>
      <c r="C4" s="145">
        <v>46037</v>
      </c>
    </row>
    <row r="5" spans="1:11" ht="16" x14ac:dyDescent="0.2">
      <c r="A5" s="128"/>
      <c r="C5" s="136"/>
    </row>
    <row r="6" spans="1:11" ht="16" x14ac:dyDescent="0.2">
      <c r="A6" s="128"/>
      <c r="B6" s="135" t="s">
        <v>264</v>
      </c>
      <c r="C6" s="144">
        <v>0.4</v>
      </c>
    </row>
    <row r="7" spans="1:11" ht="16" x14ac:dyDescent="0.2">
      <c r="A7" s="128"/>
      <c r="B7" s="135" t="s">
        <v>439</v>
      </c>
      <c r="C7" s="144">
        <v>0.02</v>
      </c>
    </row>
    <row r="8" spans="1:11" ht="16" x14ac:dyDescent="0.2">
      <c r="A8" s="128"/>
      <c r="B8" s="135" t="s">
        <v>440</v>
      </c>
      <c r="C8" s="144">
        <v>0.19</v>
      </c>
    </row>
    <row r="9" spans="1:11" ht="16" x14ac:dyDescent="0.2">
      <c r="A9" s="128"/>
    </row>
    <row r="10" spans="1:11" ht="16" x14ac:dyDescent="0.2">
      <c r="A10" s="128"/>
      <c r="B10" s="135" t="s">
        <v>441</v>
      </c>
      <c r="C10" s="146">
        <f>ROUND(C2*C3/12,2)</f>
        <v>500</v>
      </c>
    </row>
    <row r="11" spans="1:11" ht="16" x14ac:dyDescent="0.2">
      <c r="A11" s="128"/>
      <c r="B11" s="135" t="s">
        <v>442</v>
      </c>
      <c r="C11" s="146">
        <f>ROUND(C10*C6,2)</f>
        <v>200</v>
      </c>
    </row>
    <row r="12" spans="1:11" ht="16" x14ac:dyDescent="0.2">
      <c r="A12" s="128"/>
      <c r="B12" s="135" t="s">
        <v>443</v>
      </c>
      <c r="C12" s="146">
        <f>ROUND(-C2*C6*C7/12,2)</f>
        <v>-66.67</v>
      </c>
    </row>
    <row r="13" spans="1:11" ht="16" x14ac:dyDescent="0.2">
      <c r="A13" s="128"/>
      <c r="B13" s="135" t="s">
        <v>444</v>
      </c>
      <c r="C13" s="146">
        <f>ROUND(C11+C12,2)</f>
        <v>133.33000000000001</v>
      </c>
    </row>
    <row r="14" spans="1:11" ht="16" x14ac:dyDescent="0.2">
      <c r="A14" s="128"/>
      <c r="B14" s="135" t="s">
        <v>440</v>
      </c>
      <c r="C14" s="146">
        <f>ROUND(-C13*C8,2)</f>
        <v>-25.33</v>
      </c>
    </row>
    <row r="15" spans="1:11" ht="16" x14ac:dyDescent="0.2">
      <c r="A15" s="128"/>
      <c r="B15" s="135" t="s">
        <v>445</v>
      </c>
      <c r="C15" s="146">
        <f>C13+C14</f>
        <v>108.00000000000001</v>
      </c>
    </row>
    <row r="16" spans="1:11" ht="16" x14ac:dyDescent="0.2">
      <c r="A16" s="128"/>
      <c r="B16" s="128"/>
      <c r="C16" s="128"/>
      <c r="D16" s="128"/>
    </row>
    <row r="17" spans="1:11" ht="16" x14ac:dyDescent="0.2">
      <c r="A17" s="128"/>
      <c r="B17" s="128"/>
      <c r="C17" s="128"/>
      <c r="D17" s="128"/>
    </row>
    <row r="18" spans="1:11" ht="16" x14ac:dyDescent="0.2">
      <c r="A18" s="128"/>
    </row>
    <row r="19" spans="1:11" ht="16" x14ac:dyDescent="0.2">
      <c r="A19" s="128"/>
    </row>
    <row r="20" spans="1:11" ht="16" x14ac:dyDescent="0.2">
      <c r="A20" s="128"/>
    </row>
    <row r="21" spans="1:11" ht="16" x14ac:dyDescent="0.2">
      <c r="A21" s="128"/>
    </row>
    <row r="22" spans="1:11" ht="16" x14ac:dyDescent="0.2">
      <c r="A22" s="128"/>
    </row>
    <row r="23" spans="1:11" ht="16" x14ac:dyDescent="0.2">
      <c r="A23" s="128"/>
    </row>
    <row r="24" spans="1:11" ht="45" customHeight="1" x14ac:dyDescent="0.2">
      <c r="A24" s="142" t="s">
        <v>446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</row>
    <row r="25" spans="1:11" ht="18" customHeight="1" x14ac:dyDescent="0.2">
      <c r="A25" s="130" t="s">
        <v>2</v>
      </c>
      <c r="B25" s="130" t="s">
        <v>3</v>
      </c>
      <c r="C25" s="130" t="s">
        <v>447</v>
      </c>
      <c r="D25" s="130" t="s">
        <v>448</v>
      </c>
      <c r="E25" s="130" t="s">
        <v>11</v>
      </c>
      <c r="F25" s="130" t="s">
        <v>449</v>
      </c>
      <c r="G25" s="130" t="s">
        <v>450</v>
      </c>
      <c r="H25" s="130" t="s">
        <v>451</v>
      </c>
      <c r="I25" s="130" t="s">
        <v>452</v>
      </c>
      <c r="J25" s="130" t="s">
        <v>16</v>
      </c>
    </row>
    <row r="26" spans="1:11" ht="18" customHeight="1" x14ac:dyDescent="0.2">
      <c r="A26" s="131" t="s">
        <v>374</v>
      </c>
      <c r="B26" s="131" t="s">
        <v>453</v>
      </c>
      <c r="C26" s="132" t="s">
        <v>54</v>
      </c>
      <c r="D26" s="132" t="s">
        <v>454</v>
      </c>
      <c r="E26" s="132">
        <v>1</v>
      </c>
      <c r="F26" s="147">
        <f>$C$15</f>
        <v>108.00000000000001</v>
      </c>
      <c r="G26" s="148">
        <v>0</v>
      </c>
      <c r="H26" s="148">
        <v>0</v>
      </c>
      <c r="I26" s="133" t="s">
        <v>455</v>
      </c>
      <c r="J26" s="134" t="s">
        <v>456</v>
      </c>
    </row>
    <row r="27" spans="1:11" ht="18" customHeight="1" x14ac:dyDescent="0.2">
      <c r="A27" s="131" t="s">
        <v>380</v>
      </c>
      <c r="B27" s="131" t="s">
        <v>457</v>
      </c>
      <c r="C27" s="132" t="s">
        <v>54</v>
      </c>
      <c r="D27" s="132" t="s">
        <v>454</v>
      </c>
      <c r="E27" s="132">
        <v>3</v>
      </c>
      <c r="F27" s="147">
        <f>$C$15</f>
        <v>108.00000000000001</v>
      </c>
      <c r="G27" s="148">
        <v>0</v>
      </c>
      <c r="H27" s="148">
        <v>0</v>
      </c>
      <c r="I27" s="133" t="s">
        <v>455</v>
      </c>
      <c r="J27" s="134" t="s">
        <v>458</v>
      </c>
    </row>
    <row r="28" spans="1:11" ht="18" customHeight="1" x14ac:dyDescent="0.2">
      <c r="A28" s="131" t="s">
        <v>385</v>
      </c>
      <c r="B28" s="131" t="s">
        <v>459</v>
      </c>
      <c r="C28" s="132" t="s">
        <v>460</v>
      </c>
      <c r="D28" s="132" t="s">
        <v>454</v>
      </c>
      <c r="E28" s="132">
        <v>1</v>
      </c>
      <c r="F28" s="148">
        <v>0</v>
      </c>
      <c r="G28" s="147">
        <f>$C$15</f>
        <v>108.00000000000001</v>
      </c>
      <c r="H28" s="148">
        <v>0</v>
      </c>
      <c r="I28" s="133" t="s">
        <v>461</v>
      </c>
      <c r="J28" s="134" t="s">
        <v>462</v>
      </c>
    </row>
    <row r="29" spans="1:11" ht="18" customHeight="1" x14ac:dyDescent="0.2">
      <c r="A29" s="131" t="s">
        <v>463</v>
      </c>
      <c r="B29" s="131" t="s">
        <v>464</v>
      </c>
      <c r="C29" s="132" t="s">
        <v>465</v>
      </c>
      <c r="D29" s="132" t="s">
        <v>454</v>
      </c>
      <c r="E29" s="132">
        <v>2</v>
      </c>
      <c r="F29" s="148">
        <v>0</v>
      </c>
      <c r="G29" s="147">
        <f>$C$15</f>
        <v>108.00000000000001</v>
      </c>
      <c r="H29" s="148">
        <v>0</v>
      </c>
      <c r="I29" s="133" t="s">
        <v>461</v>
      </c>
      <c r="J29" s="134" t="s">
        <v>466</v>
      </c>
    </row>
    <row r="30" spans="1:11" ht="18" customHeight="1" x14ac:dyDescent="0.2">
      <c r="A30" s="131" t="s">
        <v>467</v>
      </c>
      <c r="B30" s="131" t="s">
        <v>468</v>
      </c>
      <c r="C30" s="132" t="s">
        <v>469</v>
      </c>
      <c r="D30" s="132" t="s">
        <v>470</v>
      </c>
      <c r="E30" s="132">
        <v>1</v>
      </c>
      <c r="F30" s="148">
        <v>0</v>
      </c>
      <c r="G30" s="148">
        <v>0</v>
      </c>
      <c r="H30" s="147">
        <f>$C$15</f>
        <v>108.00000000000001</v>
      </c>
      <c r="I30" s="133" t="s">
        <v>471</v>
      </c>
      <c r="J30" s="134" t="s">
        <v>472</v>
      </c>
    </row>
    <row r="31" spans="1:11" ht="18" customHeight="1" x14ac:dyDescent="0.2">
      <c r="A31" s="131" t="s">
        <v>473</v>
      </c>
      <c r="B31" s="131" t="s">
        <v>474</v>
      </c>
      <c r="C31" s="132" t="s">
        <v>469</v>
      </c>
      <c r="D31" s="132" t="s">
        <v>475</v>
      </c>
      <c r="E31" s="132">
        <v>1</v>
      </c>
      <c r="F31" s="148">
        <v>0</v>
      </c>
      <c r="G31" s="147">
        <f>$C$15-H31</f>
        <v>58.000000000000014</v>
      </c>
      <c r="H31" s="148">
        <v>50</v>
      </c>
      <c r="I31" s="133" t="s">
        <v>476</v>
      </c>
      <c r="J31" s="134" t="s">
        <v>477</v>
      </c>
    </row>
    <row r="32" spans="1:11" ht="18" customHeight="1" x14ac:dyDescent="0.2">
      <c r="A32" s="131" t="s">
        <v>478</v>
      </c>
      <c r="B32" s="131" t="s">
        <v>479</v>
      </c>
      <c r="C32" s="132" t="s">
        <v>480</v>
      </c>
      <c r="D32" s="132" t="s">
        <v>470</v>
      </c>
      <c r="E32" s="132">
        <v>1</v>
      </c>
      <c r="F32" s="148">
        <v>0</v>
      </c>
      <c r="G32" s="148">
        <v>0</v>
      </c>
      <c r="H32" s="147">
        <f>$C$15</f>
        <v>108.00000000000001</v>
      </c>
      <c r="I32" s="133" t="s">
        <v>471</v>
      </c>
      <c r="J32" s="134" t="s">
        <v>481</v>
      </c>
    </row>
    <row r="33" spans="1:10" ht="18" customHeight="1" x14ac:dyDescent="0.2">
      <c r="A33" s="131" t="s">
        <v>482</v>
      </c>
      <c r="B33" s="131" t="s">
        <v>479</v>
      </c>
      <c r="C33" s="132" t="s">
        <v>480</v>
      </c>
      <c r="D33" s="132" t="s">
        <v>470</v>
      </c>
      <c r="E33" s="132">
        <v>2</v>
      </c>
      <c r="F33" s="148">
        <v>0</v>
      </c>
      <c r="G33" s="147">
        <f>$C$15</f>
        <v>108.00000000000001</v>
      </c>
      <c r="H33" s="148">
        <v>0</v>
      </c>
      <c r="I33" s="133" t="s">
        <v>461</v>
      </c>
      <c r="J33" s="134" t="s">
        <v>483</v>
      </c>
    </row>
    <row r="34" spans="1:10" ht="18" customHeight="1" x14ac:dyDescent="0.2">
      <c r="A34" s="131" t="s">
        <v>484</v>
      </c>
      <c r="B34" s="131" t="s">
        <v>485</v>
      </c>
      <c r="C34" s="132" t="s">
        <v>480</v>
      </c>
      <c r="D34" s="132" t="s">
        <v>486</v>
      </c>
      <c r="E34" s="132">
        <v>1</v>
      </c>
      <c r="F34" s="148">
        <v>0</v>
      </c>
      <c r="G34" s="148">
        <v>0</v>
      </c>
      <c r="H34" s="147">
        <f>$C$15</f>
        <v>108.00000000000001</v>
      </c>
      <c r="I34" s="133" t="s">
        <v>471</v>
      </c>
      <c r="J34" s="134" t="s">
        <v>487</v>
      </c>
    </row>
    <row r="35" spans="1:10" ht="18" customHeight="1" x14ac:dyDescent="0.2">
      <c r="A35" s="131" t="s">
        <v>488</v>
      </c>
      <c r="B35" s="131" t="s">
        <v>489</v>
      </c>
      <c r="C35" s="132" t="s">
        <v>480</v>
      </c>
      <c r="D35" s="132" t="s">
        <v>486</v>
      </c>
      <c r="E35" s="132">
        <v>2</v>
      </c>
      <c r="F35" s="148">
        <v>0</v>
      </c>
      <c r="G35" s="148">
        <v>0</v>
      </c>
      <c r="H35" s="147">
        <f>$C$15</f>
        <v>108.00000000000001</v>
      </c>
      <c r="I35" s="133" t="s">
        <v>471</v>
      </c>
      <c r="J35" s="134" t="s">
        <v>490</v>
      </c>
    </row>
    <row r="36" spans="1:10" ht="18" customHeight="1" x14ac:dyDescent="0.2">
      <c r="A36" s="131" t="s">
        <v>491</v>
      </c>
      <c r="B36" s="131" t="s">
        <v>492</v>
      </c>
      <c r="C36" s="132" t="s">
        <v>493</v>
      </c>
      <c r="D36" s="132" t="s">
        <v>454</v>
      </c>
      <c r="E36" s="132">
        <v>1</v>
      </c>
      <c r="F36" s="147">
        <f>$C$15*50%</f>
        <v>54.000000000000007</v>
      </c>
      <c r="G36" s="147">
        <f>$C$15*50%</f>
        <v>54.000000000000007</v>
      </c>
      <c r="H36" s="148">
        <v>0</v>
      </c>
      <c r="I36" s="133" t="s">
        <v>476</v>
      </c>
      <c r="J36" s="134" t="s">
        <v>494</v>
      </c>
    </row>
  </sheetData>
  <mergeCells count="2">
    <mergeCell ref="A1:K1"/>
    <mergeCell ref="A24:K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1_Calculo_cuota</vt:lpstr>
      <vt:lpstr>2_Capital_Activo</vt:lpstr>
      <vt:lpstr>3_Situacion</vt:lpstr>
      <vt:lpstr>4_KPIs_Dashboard</vt:lpstr>
      <vt:lpstr>5_Instrucciones</vt:lpstr>
      <vt:lpstr>5_fmt</vt:lpstr>
      <vt:lpstr>6_Calculos_Aux</vt:lpstr>
      <vt:lpstr>7_CalendarioCCP</vt:lpstr>
      <vt:lpstr>8_LineasCCP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Narcís Magriñà</cp:lastModifiedBy>
  <cp:revision>0</cp:revision>
  <dcterms:created xsi:type="dcterms:W3CDTF">2026-03-15T16:30:11Z</dcterms:created>
  <dcterms:modified xsi:type="dcterms:W3CDTF">2026-03-18T10:32:46Z</dcterms:modified>
  <dc:language>en-US</dc:language>
</cp:coreProperties>
</file>