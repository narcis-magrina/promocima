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Users/narcismagrinabalcells/Dropbox/1 - OFICINA/1-PROMOCIMA/02-CAPITAL PRIVADO/30 - Desarrollo/Préstamos/Claude Pro/promocima/documentación/"/>
    </mc:Choice>
  </mc:AlternateContent>
  <xr:revisionPtr revIDLastSave="0" documentId="13_ncr:1_{205D769C-7FFE-F048-AEDD-4D1A6F17BDC4}" xr6:coauthVersionLast="47" xr6:coauthVersionMax="47" xr10:uidLastSave="{00000000-0000-0000-0000-000000000000}"/>
  <bookViews>
    <workbookView xWindow="0" yWindow="1840" windowWidth="30380" windowHeight="11000" tabRatio="500" xr2:uid="{00000000-000D-0000-FFFF-FFFF00000000}"/>
  </bookViews>
  <sheets>
    <sheet name="1_Calendario" sheetId="1" r:id="rId1"/>
    <sheet name="2_Capital_Activo" sheetId="2" r:id="rId2"/>
    <sheet name="3_Situacion" sheetId="3" r:id="rId3"/>
    <sheet name="4_KPIs_Dashboard" sheetId="4" r:id="rId4"/>
    <sheet name="5_Instrucciones" sheetId="5" r:id="rId5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8" i="2" l="1"/>
  <c r="E31" i="4" l="1"/>
  <c r="D31" i="4"/>
  <c r="E30" i="4"/>
  <c r="D30" i="4"/>
  <c r="E28" i="4"/>
  <c r="D28" i="4"/>
  <c r="E27" i="4"/>
  <c r="D27" i="4"/>
  <c r="E26" i="4"/>
  <c r="D26" i="4"/>
  <c r="E25" i="4"/>
  <c r="D25" i="4"/>
  <c r="E24" i="4"/>
  <c r="D24" i="4"/>
  <c r="E23" i="4"/>
  <c r="D23" i="4"/>
  <c r="E22" i="4"/>
  <c r="D22" i="4"/>
  <c r="E21" i="4"/>
  <c r="D21" i="4"/>
  <c r="E20" i="4"/>
  <c r="D20" i="4"/>
  <c r="E17" i="4"/>
  <c r="D17" i="4"/>
  <c r="C13" i="4"/>
  <c r="E29" i="4" s="1"/>
  <c r="I10" i="2"/>
  <c r="I9" i="2"/>
  <c r="I7" i="2"/>
  <c r="I6" i="2"/>
  <c r="I5" i="2"/>
  <c r="I4" i="2"/>
  <c r="Q12" i="1"/>
  <c r="P12" i="1"/>
  <c r="M12" i="1"/>
  <c r="R12" i="1" s="1"/>
  <c r="L12" i="1"/>
  <c r="N12" i="1" s="1"/>
  <c r="Q11" i="1"/>
  <c r="P11" i="1"/>
  <c r="M11" i="1"/>
  <c r="L11" i="1"/>
  <c r="R11" i="1" s="1"/>
  <c r="Q10" i="1"/>
  <c r="P10" i="1"/>
  <c r="M10" i="1"/>
  <c r="R10" i="1" s="1"/>
  <c r="L10" i="1"/>
  <c r="N10" i="1" s="1"/>
  <c r="Q9" i="1"/>
  <c r="P9" i="1"/>
  <c r="N9" i="1"/>
  <c r="M9" i="1"/>
  <c r="L9" i="1"/>
  <c r="R9" i="1" s="1"/>
  <c r="Q8" i="1"/>
  <c r="P8" i="1"/>
  <c r="M8" i="1"/>
  <c r="L8" i="1"/>
  <c r="N8" i="1" s="1"/>
  <c r="Q7" i="1"/>
  <c r="P7" i="1"/>
  <c r="N7" i="1"/>
  <c r="M7" i="1"/>
  <c r="L7" i="1"/>
  <c r="R7" i="1" s="1"/>
  <c r="Q6" i="1"/>
  <c r="P6" i="1"/>
  <c r="M6" i="1"/>
  <c r="L6" i="1"/>
  <c r="N6" i="1" s="1"/>
  <c r="Q5" i="1"/>
  <c r="P5" i="1"/>
  <c r="N5" i="1"/>
  <c r="M5" i="1"/>
  <c r="L5" i="1"/>
  <c r="R5" i="1" s="1"/>
  <c r="Q4" i="1"/>
  <c r="P4" i="1"/>
  <c r="M4" i="1"/>
  <c r="L4" i="1"/>
  <c r="N4" i="1" s="1"/>
  <c r="N11" i="1" l="1"/>
  <c r="D18" i="4"/>
  <c r="R8" i="1"/>
  <c r="E18" i="4"/>
  <c r="R4" i="1"/>
  <c r="R6" i="1"/>
  <c r="D19" i="4"/>
  <c r="D29" i="4"/>
  <c r="E19" i="4"/>
</calcChain>
</file>

<file path=xl/sharedStrings.xml><?xml version="1.0" encoding="utf-8"?>
<sst xmlns="http://schemas.openxmlformats.org/spreadsheetml/2006/main" count="330" uniqueCount="239">
  <si>
    <t>HOJA 1 — Calendario Teórico. Interés y principal calculados con fórmulas Excel. Coincidencia compara L vs P y M vs Q.</t>
  </si>
  <si>
    <t>INSTRUCCIONES: Columnas P y Q contienen la fórmula de referencia. Columna R indica si los valores originales cuadran. Para añadir casos copia una fila y ajusta las columnas A-J y N.</t>
  </si>
  <si>
    <t>Caso</t>
  </si>
  <si>
    <t>Descripción</t>
  </si>
  <si>
    <t>Tipo préstamo</t>
  </si>
  <si>
    <t>Importe</t>
  </si>
  <si>
    <t>Interés %</t>
  </si>
  <si>
    <t>Meses</t>
  </si>
  <si>
    <t>Fecha inicio</t>
  </si>
  <si>
    <t>Día cobro</t>
  </si>
  <si>
    <t>Meses carencia</t>
  </si>
  <si>
    <t>Cuota N°</t>
  </si>
  <si>
    <t>Fecha esperada</t>
  </si>
  <si>
    <t>Interés esperado</t>
  </si>
  <si>
    <t>Principal esperado</t>
  </si>
  <si>
    <t>Total esperado</t>
  </si>
  <si>
    <t>Notas</t>
  </si>
  <si>
    <t>Fórmula interés</t>
  </si>
  <si>
    <t>Fórmula principal</t>
  </si>
  <si>
    <t>Coincidencia</t>
  </si>
  <si>
    <t>A1</t>
  </si>
  <si>
    <t>Americano 12m - cuota 1</t>
  </si>
  <si>
    <t>Americano</t>
  </si>
  <si>
    <t>2024-01-15</t>
  </si>
  <si>
    <t>2024-02-15</t>
  </si>
  <si>
    <t>Interés = importe × tasa / 12</t>
  </si>
  <si>
    <t>Americano 12m - cuota 12</t>
  </si>
  <si>
    <t>2025-01-15</t>
  </si>
  <si>
    <t>Última cuota devuelve principal</t>
  </si>
  <si>
    <t>A2</t>
  </si>
  <si>
    <t>Americano 24m - cuota 6</t>
  </si>
  <si>
    <t>2024-03-01</t>
  </si>
  <si>
    <t>2024-08-01</t>
  </si>
  <si>
    <t>F1</t>
  </si>
  <si>
    <t>Francés 12m - cuota 1</t>
  </si>
  <si>
    <t>Francés</t>
  </si>
  <si>
    <t>PMT estándar</t>
  </si>
  <si>
    <t>Francés 12m - cuota 6</t>
  </si>
  <si>
    <t>2024-07-15</t>
  </si>
  <si>
    <t>Interés sobre saldo reducido</t>
  </si>
  <si>
    <t>Francés 12m - cuota 12</t>
  </si>
  <si>
    <t>Última cuota francesa</t>
  </si>
  <si>
    <t>F2</t>
  </si>
  <si>
    <t>Francés 24m - cuota 1</t>
  </si>
  <si>
    <t>2024-06-01</t>
  </si>
  <si>
    <t>2024-07-01</t>
  </si>
  <si>
    <t>FC1</t>
  </si>
  <si>
    <t>Francés carencia 6m - cuota 1</t>
  </si>
  <si>
    <t>Francés con carencia</t>
  </si>
  <si>
    <t>2024-01-01</t>
  </si>
  <si>
    <t>2024-02-01</t>
  </si>
  <si>
    <t>Carencia: solo intereses</t>
  </si>
  <si>
    <t>Francés carencia 6m - cuota 7</t>
  </si>
  <si>
    <t>Post-carencia: primera cuota amortizante</t>
  </si>
  <si>
    <t>HOJA 2 — Capital Activo. Para Americano: importe – amortizaciones parciales. Para Francés: importe – principal de cuotas cobradas – APs.</t>
  </si>
  <si>
    <t>INSTRUCCIONES: Capital activo esperado (col I) se expresa como fórmula cuando es calculable directamente, o como valor con explicación en col J.</t>
  </si>
  <si>
    <t>Tipo</t>
  </si>
  <si>
    <t>Cobros (descripción)</t>
  </si>
  <si>
    <t>Capital activo esperado</t>
  </si>
  <si>
    <t>Fórmula / Cálculo</t>
  </si>
  <si>
    <t>Tolerancia €</t>
  </si>
  <si>
    <t>CA1</t>
  </si>
  <si>
    <t>Americano sin cobros</t>
  </si>
  <si>
    <t>Sin cobros</t>
  </si>
  <si>
    <t>Importe íntegro sin amortizar</t>
  </si>
  <si>
    <t>CA2</t>
  </si>
  <si>
    <t>Americano AP 20.000€</t>
  </si>
  <si>
    <t>AP 20.000€</t>
  </si>
  <si>
    <t>Importe – AP</t>
  </si>
  <si>
    <t>CA3</t>
  </si>
  <si>
    <t>Americano AP 20.000 + AP 10.000</t>
  </si>
  <si>
    <t>AP 20k+10k</t>
  </si>
  <si>
    <t>Importe – ambas APs</t>
  </si>
  <si>
    <t>CF1</t>
  </si>
  <si>
    <t>Francés sin cobros</t>
  </si>
  <si>
    <t>Importe íntegro</t>
  </si>
  <si>
    <t>CF2</t>
  </si>
  <si>
    <t>Francés 3 cuotas cobradas</t>
  </si>
  <si>
    <t>Cuotas 1-3</t>
  </si>
  <si>
    <t>Importe + principal negativo cuotas 1-3</t>
  </si>
  <si>
    <t>CUMPRINC devuelve negativo → se suma</t>
  </si>
  <si>
    <t>CF3</t>
  </si>
  <si>
    <t>Francés 12 cuotas cobradas</t>
  </si>
  <si>
    <t>12 cuotas</t>
  </si>
  <si>
    <t>Completamente amortizado → ≈0</t>
  </si>
  <si>
    <t>CF4</t>
  </si>
  <si>
    <t>Francés AP 30k + 3 cuotas</t>
  </si>
  <si>
    <t>AP 30k + c1-3</t>
  </si>
  <si>
    <t>AP reduce saldo; cuotas sobre saldo menor</t>
  </si>
  <si>
    <t>Aprox — AP cambia el PMT</t>
  </si>
  <si>
    <t>HOJA 3 — Situación préstamo. 'al_dia' = no hay cuotas vencidas sin cobrar. 'con_retraso' = hay cuotas vencidas sin cobrar. null = cancelado o judicializado.</t>
  </si>
  <si>
    <t>INSTRUCCIONES: La situación depende de la fecha actual del sistema. Los casos S3-S6 usan fechas pasadas/futuras conocidas para resultados deterministas.</t>
  </si>
  <si>
    <t>Estado préstamo</t>
  </si>
  <si>
    <t>Cobros</t>
  </si>
  <si>
    <t>Situación esperada</t>
  </si>
  <si>
    <t>S1</t>
  </si>
  <si>
    <t>Cancelado → siempre null</t>
  </si>
  <si>
    <t>cancelado</t>
  </si>
  <si>
    <t>null</t>
  </si>
  <si>
    <t>estado='cancelado' → calcSituacion devuelve null</t>
  </si>
  <si>
    <t>S2</t>
  </si>
  <si>
    <t>Judicializado → siempre null</t>
  </si>
  <si>
    <t>judicializado</t>
  </si>
  <si>
    <t>estado='judicializado' → calcSituacion devuelve null</t>
  </si>
  <si>
    <t>S3</t>
  </si>
  <si>
    <t>Inicio futuro → al_dia</t>
  </si>
  <si>
    <t>HOY+2 meses</t>
  </si>
  <si>
    <t>activo</t>
  </si>
  <si>
    <t>al_dia</t>
  </si>
  <si>
    <t>Sin cuotas vencidas aún → al_dia</t>
  </si>
  <si>
    <t>S4</t>
  </si>
  <si>
    <t>Todas las cuotas cobradas → al_dia</t>
  </si>
  <si>
    <t>12 cuotas cobradas</t>
  </si>
  <si>
    <t>Ninguna pendiente → al_dia</t>
  </si>
  <si>
    <t>S5</t>
  </si>
  <si>
    <t>Inicio antiguo sin cobros → con_retraso</t>
  </si>
  <si>
    <t>2022-01-01</t>
  </si>
  <si>
    <t>con_retraso</t>
  </si>
  <si>
    <t>Múltiples cuotas vencidas no cobradas</t>
  </si>
  <si>
    <t>S6</t>
  </si>
  <si>
    <t>Solo cuota 1 sin cobrar → con_retraso</t>
  </si>
  <si>
    <t>Cuotas 2-12 cobradas</t>
  </si>
  <si>
    <t>Cuota 1 vencida y no cobrada</t>
  </si>
  <si>
    <t>HOJA 4 — KPIs Dashboard. Dataset fijo de 3 préstamos + 2 partícipes. Los valores esperados se calculan con fórmulas sobre las celdas de datos del dataset.</t>
  </si>
  <si>
    <t>DATASET DE PRUEBA (modifica estos valores para nuevos escenarios)</t>
  </si>
  <si>
    <t>Ref</t>
  </si>
  <si>
    <t>Campo</t>
  </si>
  <si>
    <t>Valor</t>
  </si>
  <si>
    <t>P1_imp</t>
  </si>
  <si>
    <t>P1 Importe (Americano 6% 12m)</t>
  </si>
  <si>
    <t>P1_gar</t>
  </si>
  <si>
    <t>P1 Garantía tasación</t>
  </si>
  <si>
    <t>P2_imp</t>
  </si>
  <si>
    <t>P2 Importe (Francés 8% 24m, 3 cuotas cobradas)</t>
  </si>
  <si>
    <t>P2_gar</t>
  </si>
  <si>
    <t>P2 Garantía tasación</t>
  </si>
  <si>
    <t>P3_imp</t>
  </si>
  <si>
    <t>P3 Importe (Americano 9% 18m, judicializado)</t>
  </si>
  <si>
    <t>P3_gar</t>
  </si>
  <si>
    <t>P3 Garantía tasación</t>
  </si>
  <si>
    <t>CCP1_imp</t>
  </si>
  <si>
    <t>CCP1 Participación (P1, 40%)</t>
  </si>
  <si>
    <t>CCP2_imp</t>
  </si>
  <si>
    <t>CCP2 Participación (P2, 50%)</t>
  </si>
  <si>
    <t>CCP3_imp</t>
  </si>
  <si>
    <t>CCP3 Participación (P3, 25%)</t>
  </si>
  <si>
    <t>P2_princ_amort</t>
  </si>
  <si>
    <t>P2 Principal amortizado (3 cuotas francesas 8% 24m)</t>
  </si>
  <si>
    <t>VALORES ESPERADOS KPIs</t>
  </si>
  <si>
    <t>ID</t>
  </si>
  <si>
    <t>KPI</t>
  </si>
  <si>
    <t>Sub-KPI</t>
  </si>
  <si>
    <t>Valor esperado</t>
  </si>
  <si>
    <t>Fórmula</t>
  </si>
  <si>
    <t>K1.1</t>
  </si>
  <si>
    <t>Capital</t>
  </si>
  <si>
    <t>Desplegado (nominal en curso)=P1+P2+P3</t>
  </si>
  <si>
    <t>Suma de importes nominales, P3 judicializado incluido</t>
  </si>
  <si>
    <t>K1.2</t>
  </si>
  <si>
    <t>En curso (vivo real)=P1+P2_amort+P3</t>
  </si>
  <si>
    <t>P2 descuenta principal cuotas cobradas; P1 y P3 americanos sin amort</t>
  </si>
  <si>
    <t>K1.3</t>
  </si>
  <si>
    <t>Activo (sin judicial)=P1+P2_amort</t>
  </si>
  <si>
    <t>Solo activos, P3 judicial excluido</t>
  </si>
  <si>
    <t>K1.4</t>
  </si>
  <si>
    <t>Judicializado=P3</t>
  </si>
  <si>
    <t>Solo P3</t>
  </si>
  <si>
    <t>K1.5</t>
  </si>
  <si>
    <t>% judicializado</t>
  </si>
  <si>
    <t>Judicializado / Desplegado</t>
  </si>
  <si>
    <t>K1.6</t>
  </si>
  <si>
    <t>Participado activo=CCP1+CCP2</t>
  </si>
  <si>
    <t>CCP3 en judicial; capitalParticipado incluye judicial</t>
  </si>
  <si>
    <t>K3.1</t>
  </si>
  <si>
    <t>Operaciones</t>
  </si>
  <si>
    <t>Total</t>
  </si>
  <si>
    <t>P1+P2+P3</t>
  </si>
  <si>
    <t>K3.2</t>
  </si>
  <si>
    <t>Canceladas</t>
  </si>
  <si>
    <t>Ninguna cancelada</t>
  </si>
  <si>
    <t>K3.3</t>
  </si>
  <si>
    <t>En curso</t>
  </si>
  <si>
    <t>K3.4</t>
  </si>
  <si>
    <t>Judicializadas</t>
  </si>
  <si>
    <t>P3</t>
  </si>
  <si>
    <t>K3.5</t>
  </si>
  <si>
    <t>Activas</t>
  </si>
  <si>
    <t>P1+P2</t>
  </si>
  <si>
    <t>K4.1</t>
  </si>
  <si>
    <t>LTV</t>
  </si>
  <si>
    <t>Total garantías en curso</t>
  </si>
  <si>
    <t>Suma tasaciones P1+P2+P3</t>
  </si>
  <si>
    <t>K4.2</t>
  </si>
  <si>
    <t>LTV en curso</t>
  </si>
  <si>
    <t>Capital vivo / garantías</t>
  </si>
  <si>
    <t>K4.3</t>
  </si>
  <si>
    <t>Garantías partícipes</t>
  </si>
  <si>
    <t>Garantía×fracción participación</t>
  </si>
  <si>
    <t>K4.4</t>
  </si>
  <si>
    <t>LTV partícipes</t>
  </si>
  <si>
    <t>Capital part. / garantías part.</t>
  </si>
  <si>
    <t>K5.1</t>
  </si>
  <si>
    <t>Duración</t>
  </si>
  <si>
    <t>Media en curso (meses)</t>
  </si>
  <si>
    <t>≈13</t>
  </si>
  <si>
    <t>Días desde inicio hasta hoy / 30, media P1+P2+P3</t>
  </si>
  <si>
    <t>K5.2</t>
  </si>
  <si>
    <t>Media activas (meses)</t>
  </si>
  <si>
    <t>≈8</t>
  </si>
  <si>
    <t>Solo P1+P2</t>
  </si>
  <si>
    <t>K5.3</t>
  </si>
  <si>
    <t>Media judicializadas (meses)</t>
  </si>
  <si>
    <t>CÓMO USAR ESTE FICHERO DE CASOS DE PRUEBA</t>
  </si>
  <si>
    <t>ESTRUCTURA DE HOJAS</t>
  </si>
  <si>
    <t xml:space="preserve">  · 1_Calendario     → generateCalendarioTeorico(): verifica interés, principal y total de cada cuota</t>
  </si>
  <si>
    <t xml:space="preserve">  · 2_Capital_Activo → calcCapitalActivoPrestamo(): verifica capital vivo tras cobros/amortizaciones</t>
  </si>
  <si>
    <t xml:space="preserve">  · 3_Situacion      → calcSituacionPrestamo(): verifica si el préstamo está 'al_dia' o 'con_retraso'</t>
  </si>
  <si>
    <t xml:space="preserve">  · 4_KPIs_Dashboard → Valores esperados de los KPIs del Dashboard con dataset de 3 préstamos</t>
  </si>
  <si>
    <t>COLORES EN LAS FÓRMULAS</t>
  </si>
  <si>
    <t xml:space="preserve">  · Texto azul  → Valor esperado (fórmula de referencia Excel)</t>
  </si>
  <si>
    <t xml:space="preserve">  · Texto verde → Columna de referencia / verificación</t>
  </si>
  <si>
    <t xml:space="preserve">  · Texto negro → Valores de entrada (modifica para nuevos escenarios)</t>
  </si>
  <si>
    <t>CÓMO AÑADIR UN CASO NUEVO</t>
  </si>
  <si>
    <t xml:space="preserve">  1. Ve a la hoja correspondiente</t>
  </si>
  <si>
    <t xml:space="preserve">  2. Copia la última fila de datos</t>
  </si>
  <si>
    <t xml:space="preserve">  3. Ajusta las columnas de entrada (A-J en Hoja 1, A-H en Hoja 2, A-I en Hoja 3)</t>
  </si>
  <si>
    <t xml:space="preserve">  4. Las fórmulas de valor esperado se actualizarán automáticamente si usas referencias relativas</t>
  </si>
  <si>
    <t xml:space="preserve">  5. En el fichero .test.js añade el caso correspondiente</t>
  </si>
  <si>
    <t>CÓMO EJECUTAR LOS TESTS</t>
  </si>
  <si>
    <t xml:space="preserve">  · Desde la raíz del proyecto: node tests/promocima.test.js</t>
  </si>
  <si>
    <t xml:space="preserve">  · Resultado: ✓ (pasa) o ✗ (falla) con valor obtenido vs esperado</t>
  </si>
  <si>
    <t xml:space="preserve">  · Tolerancias: ±0.02€ para importes de cuota, ±0.10€ para capital activo</t>
  </si>
  <si>
    <t>FORMATO COBROS EN EL FICHERO .test.js</t>
  </si>
  <si>
    <t xml:space="preserve">  · Pago cuota:          { tipo:"pago_cuota", cuota_num:"1", importe:8606.64, fecha_real:"2024-02-15", prestamo_id:"X" }</t>
  </si>
  <si>
    <t xml:space="preserve">  · Amortización parcial:{ tipo:"amortizacion_parcial", importe_principal:20000, fecha_real:"2024-04-15", prestamo_id:"X" }</t>
  </si>
  <si>
    <t>Comentarios:</t>
  </si>
  <si>
    <t>CF4 no tiene mucha utilidad, lo suyo sería con una amortización parcial a mitad del préstamo (2024-7-15). Calcular la cuota 8.</t>
  </si>
  <si>
    <t>Sería bueno poder calcular los intereses pendientes a un dia determinado ya que eso se usa cuando se quiere amortizar parcialmente o cancelar un prñéstamo antes de vencimiento.</t>
  </si>
  <si>
    <t>La estructura sería parecida, pero calcular la última cuota en función del día que se pagó la anterior.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</si>
</sst>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charset val="1"/>
    </font>
    <font>
      <i/>
      <sz val="9"/>
      <color rgb="FF666666"/>
      <name val="Cambria"/>
      <family val="1"/>
    </font>
    <font>
      <b/>
      <sz val="10"/>
      <color rgb="FFFFFFFF"/>
      <name val="Cambria"/>
      <family val="1"/>
    </font>
    <font>
      <sz val="10"/>
      <color rgb="FF000000"/>
      <name val="Cambria"/>
      <family val="1"/>
    </font>
    <font>
      <sz val="10"/>
      <color rgb="FF0070C0"/>
      <name val="Cambria"/>
      <family val="1"/>
    </font>
    <font>
      <sz val="10"/>
      <color rgb="FF007030"/>
      <name val="Cambria"/>
      <family val="1"/>
    </font>
    <font>
      <b/>
      <sz val="10"/>
      <color rgb="FF000000"/>
      <name val="Cambria"/>
      <family val="1"/>
    </font>
    <font>
      <b/>
      <sz val="11"/>
      <color rgb="FFFFFFFF"/>
      <name val="Cambria"/>
      <family val="1"/>
    </font>
    <font>
      <b/>
      <sz val="10"/>
      <color rgb="FF0070C0"/>
      <name val="Cambria"/>
      <family val="1"/>
    </font>
    <font>
      <b/>
      <sz val="13"/>
      <color rgb="FF0070C0"/>
      <name val="Cambria"/>
      <family val="1"/>
    </font>
    <font>
      <sz val="10"/>
      <name val="Cambria"/>
      <family val="1"/>
    </font>
    <font>
      <b/>
      <sz val="11"/>
      <name val="Cambria"/>
      <family val="1"/>
    </font>
  </fonts>
  <fills count="12">
    <fill>
      <patternFill patternType="none"/>
    </fill>
    <fill>
      <patternFill patternType="gray125"/>
    </fill>
    <fill>
      <patternFill patternType="solid">
        <fgColor rgb="FF0070C0"/>
        <bgColor rgb="FF008080"/>
      </patternFill>
    </fill>
    <fill>
      <patternFill patternType="solid">
        <fgColor rgb="FFF2F2F2"/>
        <bgColor rgb="FFE9F5E9"/>
      </patternFill>
    </fill>
    <fill>
      <patternFill patternType="solid">
        <fgColor rgb="FFFFFFFF"/>
        <bgColor rgb="FFF2F2F2"/>
      </patternFill>
    </fill>
    <fill>
      <patternFill patternType="solid">
        <fgColor rgb="FFE2EFDA"/>
        <bgColor rgb="FFE9F5E9"/>
      </patternFill>
    </fill>
    <fill>
      <patternFill patternType="solid">
        <fgColor rgb="FFFCE4D6"/>
        <bgColor rgb="FFFEF3E2"/>
      </patternFill>
    </fill>
    <fill>
      <patternFill patternType="solid">
        <fgColor rgb="FF404040"/>
        <bgColor rgb="FF333300"/>
      </patternFill>
    </fill>
    <fill>
      <patternFill patternType="solid">
        <fgColor rgb="FFE8F4FD"/>
        <bgColor rgb="FFE9F5E9"/>
      </patternFill>
    </fill>
    <fill>
      <patternFill patternType="solid">
        <fgColor rgb="FFEDEBFA"/>
        <bgColor rgb="FFF2F2F2"/>
      </patternFill>
    </fill>
    <fill>
      <patternFill patternType="solid">
        <fgColor rgb="FFFEF3E2"/>
        <bgColor rgb="FFF2F2F2"/>
      </patternFill>
    </fill>
    <fill>
      <patternFill patternType="solid">
        <fgColor rgb="FFE9F5E9"/>
        <bgColor rgb="FFF2F2F2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7" fillId="7" borderId="0" xfId="0" applyFont="1" applyFill="1" applyAlignment="1">
      <alignment horizontal="left"/>
    </xf>
    <xf numFmtId="0" fontId="1" fillId="0" borderId="0" xfId="0" applyFont="1"/>
    <xf numFmtId="0" fontId="2" fillId="2" borderId="1" xfId="0" applyFont="1" applyFill="1" applyBorder="1" applyAlignment="1">
      <alignment horizontal="center" wrapText="1"/>
    </xf>
    <xf numFmtId="0" fontId="3" fillId="3" borderId="1" xfId="0" applyFont="1" applyFill="1" applyBorder="1" applyAlignment="1">
      <alignment horizontal="left" wrapText="1"/>
    </xf>
    <xf numFmtId="4" fontId="3" fillId="3" borderId="1" xfId="0" applyNumberFormat="1" applyFont="1" applyFill="1" applyBorder="1" applyAlignment="1">
      <alignment horizontal="right" wrapText="1"/>
    </xf>
    <xf numFmtId="10" fontId="3" fillId="3" borderId="1" xfId="0" applyNumberFormat="1" applyFont="1" applyFill="1" applyBorder="1" applyAlignment="1">
      <alignment horizontal="right" wrapText="1"/>
    </xf>
    <xf numFmtId="0" fontId="3" fillId="3" borderId="1" xfId="0" applyFont="1" applyFill="1" applyBorder="1" applyAlignment="1">
      <alignment horizontal="center" wrapText="1"/>
    </xf>
    <xf numFmtId="4" fontId="4" fillId="3" borderId="1" xfId="0" applyNumberFormat="1" applyFont="1" applyFill="1" applyBorder="1" applyAlignment="1">
      <alignment horizontal="right" wrapText="1"/>
    </xf>
    <xf numFmtId="4" fontId="5" fillId="3" borderId="1" xfId="0" applyNumberFormat="1" applyFont="1" applyFill="1" applyBorder="1" applyAlignment="1">
      <alignment horizontal="right" wrapText="1"/>
    </xf>
    <xf numFmtId="0" fontId="3" fillId="4" borderId="1" xfId="0" applyFont="1" applyFill="1" applyBorder="1" applyAlignment="1">
      <alignment horizontal="left" wrapText="1"/>
    </xf>
    <xf numFmtId="4" fontId="3" fillId="4" borderId="1" xfId="0" applyNumberFormat="1" applyFont="1" applyFill="1" applyBorder="1" applyAlignment="1">
      <alignment horizontal="right" wrapText="1"/>
    </xf>
    <xf numFmtId="10" fontId="3" fillId="4" borderId="1" xfId="0" applyNumberFormat="1" applyFont="1" applyFill="1" applyBorder="1" applyAlignment="1">
      <alignment horizontal="right" wrapText="1"/>
    </xf>
    <xf numFmtId="0" fontId="3" fillId="4" borderId="1" xfId="0" applyFont="1" applyFill="1" applyBorder="1" applyAlignment="1">
      <alignment horizontal="center" wrapText="1"/>
    </xf>
    <xf numFmtId="4" fontId="4" fillId="4" borderId="1" xfId="0" applyNumberFormat="1" applyFont="1" applyFill="1" applyBorder="1" applyAlignment="1">
      <alignment horizontal="right" wrapText="1"/>
    </xf>
    <xf numFmtId="4" fontId="5" fillId="4" borderId="1" xfId="0" applyNumberFormat="1" applyFont="1" applyFill="1" applyBorder="1" applyAlignment="1">
      <alignment horizontal="right" wrapText="1"/>
    </xf>
    <xf numFmtId="0" fontId="6" fillId="3" borderId="1" xfId="0" applyFont="1" applyFill="1" applyBorder="1" applyAlignment="1">
      <alignment horizontal="center" wrapText="1"/>
    </xf>
    <xf numFmtId="0" fontId="6" fillId="5" borderId="1" xfId="0" applyFont="1" applyFill="1" applyBorder="1" applyAlignment="1">
      <alignment horizontal="center" wrapText="1"/>
    </xf>
    <xf numFmtId="0" fontId="6" fillId="6" borderId="1" xfId="0" applyFont="1" applyFill="1" applyBorder="1" applyAlignment="1">
      <alignment horizontal="center" wrapText="1"/>
    </xf>
    <xf numFmtId="0" fontId="8" fillId="3" borderId="1" xfId="0" applyFont="1" applyFill="1" applyBorder="1" applyAlignment="1">
      <alignment horizontal="left" wrapText="1"/>
    </xf>
    <xf numFmtId="0" fontId="8" fillId="4" borderId="1" xfId="0" applyFont="1" applyFill="1" applyBorder="1" applyAlignment="1">
      <alignment horizontal="left" wrapText="1"/>
    </xf>
    <xf numFmtId="0" fontId="6" fillId="8" borderId="1" xfId="0" applyFont="1" applyFill="1" applyBorder="1" applyAlignment="1">
      <alignment horizontal="left" wrapText="1"/>
    </xf>
    <xf numFmtId="0" fontId="3" fillId="8" borderId="1" xfId="0" applyFont="1" applyFill="1" applyBorder="1" applyAlignment="1">
      <alignment horizontal="left" wrapText="1"/>
    </xf>
    <xf numFmtId="4" fontId="4" fillId="8" borderId="1" xfId="0" applyNumberFormat="1" applyFont="1" applyFill="1" applyBorder="1" applyAlignment="1">
      <alignment horizontal="right" wrapText="1"/>
    </xf>
    <xf numFmtId="0" fontId="5" fillId="8" borderId="1" xfId="0" applyFont="1" applyFill="1" applyBorder="1" applyAlignment="1">
      <alignment horizontal="left" wrapText="1"/>
    </xf>
    <xf numFmtId="4" fontId="5" fillId="8" borderId="1" xfId="0" applyNumberFormat="1" applyFont="1" applyFill="1" applyBorder="1" applyAlignment="1">
      <alignment horizontal="left" wrapText="1"/>
    </xf>
    <xf numFmtId="10" fontId="4" fillId="8" borderId="1" xfId="0" applyNumberFormat="1" applyFont="1" applyFill="1" applyBorder="1" applyAlignment="1">
      <alignment horizontal="right" wrapText="1"/>
    </xf>
    <xf numFmtId="0" fontId="6" fillId="9" borderId="1" xfId="0" applyFont="1" applyFill="1" applyBorder="1" applyAlignment="1">
      <alignment horizontal="left" wrapText="1"/>
    </xf>
    <xf numFmtId="0" fontId="3" fillId="9" borderId="1" xfId="0" applyFont="1" applyFill="1" applyBorder="1" applyAlignment="1">
      <alignment horizontal="left" wrapText="1"/>
    </xf>
    <xf numFmtId="4" fontId="4" fillId="9" borderId="1" xfId="0" applyNumberFormat="1" applyFont="1" applyFill="1" applyBorder="1" applyAlignment="1">
      <alignment horizontal="right" wrapText="1"/>
    </xf>
    <xf numFmtId="0" fontId="5" fillId="9" borderId="1" xfId="0" applyFont="1" applyFill="1" applyBorder="1" applyAlignment="1">
      <alignment horizontal="left" wrapText="1"/>
    </xf>
    <xf numFmtId="0" fontId="6" fillId="10" borderId="1" xfId="0" applyFont="1" applyFill="1" applyBorder="1" applyAlignment="1">
      <alignment horizontal="left" wrapText="1"/>
    </xf>
    <xf numFmtId="0" fontId="3" fillId="10" borderId="1" xfId="0" applyFont="1" applyFill="1" applyBorder="1" applyAlignment="1">
      <alignment horizontal="left" wrapText="1"/>
    </xf>
    <xf numFmtId="4" fontId="4" fillId="10" borderId="1" xfId="0" applyNumberFormat="1" applyFont="1" applyFill="1" applyBorder="1" applyAlignment="1">
      <alignment horizontal="right" wrapText="1"/>
    </xf>
    <xf numFmtId="0" fontId="5" fillId="10" borderId="1" xfId="0" applyFont="1" applyFill="1" applyBorder="1" applyAlignment="1">
      <alignment horizontal="left" wrapText="1"/>
    </xf>
    <xf numFmtId="10" fontId="4" fillId="10" borderId="1" xfId="0" applyNumberFormat="1" applyFont="1" applyFill="1" applyBorder="1" applyAlignment="1">
      <alignment horizontal="right" wrapText="1"/>
    </xf>
    <xf numFmtId="0" fontId="6" fillId="11" borderId="1" xfId="0" applyFont="1" applyFill="1" applyBorder="1" applyAlignment="1">
      <alignment horizontal="left" wrapText="1"/>
    </xf>
    <xf numFmtId="0" fontId="3" fillId="11" borderId="1" xfId="0" applyFont="1" applyFill="1" applyBorder="1" applyAlignment="1">
      <alignment horizontal="left" wrapText="1"/>
    </xf>
    <xf numFmtId="4" fontId="4" fillId="11" borderId="1" xfId="0" applyNumberFormat="1" applyFont="1" applyFill="1" applyBorder="1" applyAlignment="1">
      <alignment horizontal="right" wrapText="1"/>
    </xf>
    <xf numFmtId="0" fontId="5" fillId="11" borderId="1" xfId="0" applyFont="1" applyFill="1" applyBorder="1" applyAlignment="1">
      <alignment horizontal="left" wrapText="1"/>
    </xf>
    <xf numFmtId="0" fontId="9" fillId="0" borderId="0" xfId="0" applyFont="1"/>
    <xf numFmtId="0" fontId="10" fillId="0" borderId="0" xfId="0" applyFont="1"/>
    <xf numFmtId="0" fontId="1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703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EF3E2"/>
      <rgbColor rgb="FFE8F4FD"/>
      <rgbColor rgb="FF660066"/>
      <rgbColor rgb="FFFF8080"/>
      <rgbColor rgb="FF0070C0"/>
      <rgbColor rgb="FFEDEBF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9F5E9"/>
      <rgbColor rgb="FFE2EFDA"/>
      <rgbColor rgb="FFF2F2F2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5"/>
  <sheetViews>
    <sheetView tabSelected="1" zoomScaleNormal="100" workbookViewId="0">
      <pane ySplit="3" topLeftCell="A4" activePane="bottomLeft" state="frozen"/>
      <selection pane="bottomLeft" activeCell="M13" sqref="M13"/>
    </sheetView>
  </sheetViews>
  <sheetFormatPr baseColWidth="10" defaultColWidth="8.6640625" defaultRowHeight="15" x14ac:dyDescent="0.2"/>
  <cols>
    <col min="1" max="1" width="8" customWidth="1"/>
    <col min="2" max="2" width="30" customWidth="1"/>
    <col min="3" max="3" width="14" customWidth="1"/>
    <col min="4" max="4" width="12" customWidth="1"/>
    <col min="5" max="5" width="10" customWidth="1"/>
    <col min="6" max="6" width="8" customWidth="1"/>
    <col min="7" max="7" width="13" customWidth="1"/>
    <col min="8" max="8" width="9" customWidth="1"/>
    <col min="9" max="9" width="10" customWidth="1"/>
    <col min="10" max="10" width="9" customWidth="1"/>
    <col min="11" max="12" width="14" customWidth="1"/>
    <col min="13" max="13" width="16" customWidth="1"/>
    <col min="14" max="14" width="14" customWidth="1"/>
    <col min="15" max="15" width="38" customWidth="1"/>
    <col min="16" max="17" width="22" customWidth="1"/>
    <col min="18" max="18" width="18" customWidth="1"/>
  </cols>
  <sheetData>
    <row r="1" spans="1:18" x14ac:dyDescent="0.2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spans="1:18" x14ac:dyDescent="0.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spans="1:18" ht="30" customHeight="1" x14ac:dyDescent="0.2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  <c r="R3" s="3" t="s">
        <v>19</v>
      </c>
    </row>
    <row r="4" spans="1:18" x14ac:dyDescent="0.2">
      <c r="A4" s="4" t="s">
        <v>20</v>
      </c>
      <c r="B4" s="4" t="s">
        <v>21</v>
      </c>
      <c r="C4" s="4" t="s">
        <v>22</v>
      </c>
      <c r="D4" s="5">
        <v>100000</v>
      </c>
      <c r="E4" s="6">
        <v>0.06</v>
      </c>
      <c r="F4" s="7">
        <v>12</v>
      </c>
      <c r="G4" s="7" t="s">
        <v>23</v>
      </c>
      <c r="H4" s="7">
        <v>15</v>
      </c>
      <c r="I4" s="7">
        <v>0</v>
      </c>
      <c r="J4" s="7">
        <v>1</v>
      </c>
      <c r="K4" s="7" t="s">
        <v>24</v>
      </c>
      <c r="L4" s="8">
        <f>D4*E4/12</f>
        <v>500</v>
      </c>
      <c r="M4" s="8">
        <f>IF(J4=F4,D4,0)</f>
        <v>0</v>
      </c>
      <c r="N4" s="8">
        <f t="shared" ref="N4:N12" si="0">L4+M4</f>
        <v>500</v>
      </c>
      <c r="O4" s="4" t="s">
        <v>25</v>
      </c>
      <c r="P4" s="9">
        <f>D4*E4/12</f>
        <v>500</v>
      </c>
      <c r="Q4" s="9">
        <f>IF(J4=F4,D4,0)</f>
        <v>0</v>
      </c>
      <c r="R4" s="7" t="str">
        <f t="shared" ref="R4:R12" si="1">IF(AND(ABS(L4-P4)&lt;0.02,ABS(M4-Q4)&lt;0.02),"OK","No cuadra")</f>
        <v>OK</v>
      </c>
    </row>
    <row r="5" spans="1:18" x14ac:dyDescent="0.2">
      <c r="A5" s="10" t="s">
        <v>20</v>
      </c>
      <c r="B5" s="10" t="s">
        <v>26</v>
      </c>
      <c r="C5" s="10" t="s">
        <v>22</v>
      </c>
      <c r="D5" s="11">
        <v>100000</v>
      </c>
      <c r="E5" s="12">
        <v>0.06</v>
      </c>
      <c r="F5" s="13">
        <v>12</v>
      </c>
      <c r="G5" s="13" t="s">
        <v>23</v>
      </c>
      <c r="H5" s="13">
        <v>15</v>
      </c>
      <c r="I5" s="13">
        <v>0</v>
      </c>
      <c r="J5" s="13">
        <v>12</v>
      </c>
      <c r="K5" s="13" t="s">
        <v>27</v>
      </c>
      <c r="L5" s="14">
        <f>D5*E5/12</f>
        <v>500</v>
      </c>
      <c r="M5" s="14">
        <f>IF(J5=F5,D5,0)</f>
        <v>100000</v>
      </c>
      <c r="N5" s="14">
        <f t="shared" si="0"/>
        <v>100500</v>
      </c>
      <c r="O5" s="10" t="s">
        <v>28</v>
      </c>
      <c r="P5" s="15">
        <f>D5*E5/12</f>
        <v>500</v>
      </c>
      <c r="Q5" s="15">
        <f>IF(J5=F5,D5,0)</f>
        <v>100000</v>
      </c>
      <c r="R5" s="13" t="str">
        <f t="shared" si="1"/>
        <v>OK</v>
      </c>
    </row>
    <row r="6" spans="1:18" x14ac:dyDescent="0.2">
      <c r="A6" s="4" t="s">
        <v>29</v>
      </c>
      <c r="B6" s="4" t="s">
        <v>30</v>
      </c>
      <c r="C6" s="4" t="s">
        <v>22</v>
      </c>
      <c r="D6" s="5">
        <v>50000</v>
      </c>
      <c r="E6" s="6">
        <v>0.09</v>
      </c>
      <c r="F6" s="7">
        <v>24</v>
      </c>
      <c r="G6" s="7" t="s">
        <v>31</v>
      </c>
      <c r="H6" s="7">
        <v>1</v>
      </c>
      <c r="I6" s="7">
        <v>0</v>
      </c>
      <c r="J6" s="7">
        <v>6</v>
      </c>
      <c r="K6" s="7" t="s">
        <v>32</v>
      </c>
      <c r="L6" s="8">
        <f>D6*E6/12</f>
        <v>375</v>
      </c>
      <c r="M6" s="8">
        <f>IF(J6=F6,D6,0)</f>
        <v>0</v>
      </c>
      <c r="N6" s="8">
        <f t="shared" si="0"/>
        <v>375</v>
      </c>
      <c r="O6" s="4" t="s">
        <v>25</v>
      </c>
      <c r="P6" s="9">
        <f>D6*E6/12</f>
        <v>375</v>
      </c>
      <c r="Q6" s="9">
        <f>IF(J6=F6,D6,0)</f>
        <v>0</v>
      </c>
      <c r="R6" s="7" t="str">
        <f t="shared" si="1"/>
        <v>OK</v>
      </c>
    </row>
    <row r="7" spans="1:18" x14ac:dyDescent="0.2">
      <c r="A7" s="10" t="s">
        <v>33</v>
      </c>
      <c r="B7" s="10" t="s">
        <v>34</v>
      </c>
      <c r="C7" s="10" t="s">
        <v>35</v>
      </c>
      <c r="D7" s="11">
        <v>100000</v>
      </c>
      <c r="E7" s="12">
        <v>0.06</v>
      </c>
      <c r="F7" s="13">
        <v>12</v>
      </c>
      <c r="G7" s="13" t="s">
        <v>23</v>
      </c>
      <c r="H7" s="13">
        <v>15</v>
      </c>
      <c r="I7" s="13">
        <v>0</v>
      </c>
      <c r="J7" s="13">
        <v>1</v>
      </c>
      <c r="K7" s="13" t="s">
        <v>24</v>
      </c>
      <c r="L7" s="14">
        <f>-CUMIPMT(E7/12,F7,D7,J7,J7,0)</f>
        <v>500</v>
      </c>
      <c r="M7" s="14">
        <f>-CUMPRINC(E7/12,F7,D7,J7,J7,0)</f>
        <v>8106.6429707080642</v>
      </c>
      <c r="N7" s="14">
        <f t="shared" si="0"/>
        <v>8606.6429707080642</v>
      </c>
      <c r="O7" s="10" t="s">
        <v>36</v>
      </c>
      <c r="P7" s="15">
        <f>-CUMIPMT(E7/12,F7,D7,J7,J7,0)</f>
        <v>500</v>
      </c>
      <c r="Q7" s="15">
        <f>-CUMPRINC(E7/12,F7,D7,J7,J7,0)</f>
        <v>8106.6429707080642</v>
      </c>
      <c r="R7" s="13" t="str">
        <f t="shared" si="1"/>
        <v>OK</v>
      </c>
    </row>
    <row r="8" spans="1:18" x14ac:dyDescent="0.2">
      <c r="A8" s="4" t="s">
        <v>33</v>
      </c>
      <c r="B8" s="4" t="s">
        <v>37</v>
      </c>
      <c r="C8" s="4" t="s">
        <v>35</v>
      </c>
      <c r="D8" s="5">
        <v>100000</v>
      </c>
      <c r="E8" s="6">
        <v>0.06</v>
      </c>
      <c r="F8" s="7">
        <v>12</v>
      </c>
      <c r="G8" s="7" t="s">
        <v>23</v>
      </c>
      <c r="H8" s="7">
        <v>15</v>
      </c>
      <c r="I8" s="7">
        <v>0</v>
      </c>
      <c r="J8" s="7">
        <v>6</v>
      </c>
      <c r="K8" s="7" t="s">
        <v>38</v>
      </c>
      <c r="L8" s="8">
        <f>-CUMIPMT(E8/12,F8,D8,J8,J8,0)</f>
        <v>295.29710632731621</v>
      </c>
      <c r="M8" s="8">
        <f>-CUMPRINC(E8/12,F8,D8,J8,J8,0)</f>
        <v>8311.345864380748</v>
      </c>
      <c r="N8" s="8">
        <f t="shared" si="0"/>
        <v>8606.6429707080642</v>
      </c>
      <c r="O8" s="4" t="s">
        <v>39</v>
      </c>
      <c r="P8" s="9">
        <f>-CUMIPMT(E8/12,F8,D8,J8,J8,0)</f>
        <v>295.29710632731621</v>
      </c>
      <c r="Q8" s="9">
        <f>-CUMPRINC(E8/12,F8,D8,J8,J8,0)</f>
        <v>8311.345864380748</v>
      </c>
      <c r="R8" s="7" t="str">
        <f t="shared" si="1"/>
        <v>OK</v>
      </c>
    </row>
    <row r="9" spans="1:18" x14ac:dyDescent="0.2">
      <c r="A9" s="10" t="s">
        <v>33</v>
      </c>
      <c r="B9" s="10" t="s">
        <v>40</v>
      </c>
      <c r="C9" s="10" t="s">
        <v>35</v>
      </c>
      <c r="D9" s="11">
        <v>100000</v>
      </c>
      <c r="E9" s="12">
        <v>0.06</v>
      </c>
      <c r="F9" s="13">
        <v>12</v>
      </c>
      <c r="G9" s="13" t="s">
        <v>23</v>
      </c>
      <c r="H9" s="13">
        <v>15</v>
      </c>
      <c r="I9" s="13">
        <v>0</v>
      </c>
      <c r="J9" s="13">
        <v>12</v>
      </c>
      <c r="K9" s="13" t="s">
        <v>27</v>
      </c>
      <c r="L9" s="14">
        <f>-CUMIPMT(E9/12,F9,D9,J9,J9,0)</f>
        <v>42.819119257253988</v>
      </c>
      <c r="M9" s="14">
        <f>-CUMPRINC(E9/12,F9,D9,J9,J9,0)</f>
        <v>8563.8238514508103</v>
      </c>
      <c r="N9" s="14">
        <f t="shared" si="0"/>
        <v>8606.6429707080642</v>
      </c>
      <c r="O9" s="10" t="s">
        <v>41</v>
      </c>
      <c r="P9" s="15">
        <f>-CUMIPMT(E9/12,F9,D9,J9,J9,0)</f>
        <v>42.819119257253988</v>
      </c>
      <c r="Q9" s="15">
        <f>-CUMPRINC(E9/12,F9,D9,J9,J9,0)</f>
        <v>8563.8238514508103</v>
      </c>
      <c r="R9" s="13" t="str">
        <f t="shared" si="1"/>
        <v>OK</v>
      </c>
    </row>
    <row r="10" spans="1:18" x14ac:dyDescent="0.2">
      <c r="A10" s="4" t="s">
        <v>42</v>
      </c>
      <c r="B10" s="4" t="s">
        <v>43</v>
      </c>
      <c r="C10" s="4" t="s">
        <v>35</v>
      </c>
      <c r="D10" s="5">
        <v>60000</v>
      </c>
      <c r="E10" s="6">
        <v>0.08</v>
      </c>
      <c r="F10" s="7">
        <v>24</v>
      </c>
      <c r="G10" s="7" t="s">
        <v>44</v>
      </c>
      <c r="H10" s="7">
        <v>1</v>
      </c>
      <c r="I10" s="7">
        <v>0</v>
      </c>
      <c r="J10" s="7">
        <v>1</v>
      </c>
      <c r="K10" s="7" t="s">
        <v>45</v>
      </c>
      <c r="L10" s="8">
        <f>-CUMIPMT(E10/12,F10,D10,J10,J10,0)</f>
        <v>400.00000000000045</v>
      </c>
      <c r="M10" s="8">
        <f>-CUMPRINC(E10/12,F10,D10,J10,J10,0)</f>
        <v>2313.6374873710488</v>
      </c>
      <c r="N10" s="8">
        <f t="shared" si="0"/>
        <v>2713.6374873710492</v>
      </c>
      <c r="O10" s="4" t="s">
        <v>36</v>
      </c>
      <c r="P10" s="9">
        <f>-CUMIPMT(E10/12,F10,D10,J10,J10,0)</f>
        <v>400.00000000000045</v>
      </c>
      <c r="Q10" s="9">
        <f>-CUMPRINC(E10/12,F10,D10,J10,J10,0)</f>
        <v>2313.6374873710488</v>
      </c>
      <c r="R10" s="7" t="str">
        <f t="shared" si="1"/>
        <v>OK</v>
      </c>
    </row>
    <row r="11" spans="1:18" ht="29" x14ac:dyDescent="0.2">
      <c r="A11" s="10" t="s">
        <v>46</v>
      </c>
      <c r="B11" s="10" t="s">
        <v>47</v>
      </c>
      <c r="C11" s="10" t="s">
        <v>48</v>
      </c>
      <c r="D11" s="11">
        <v>80000</v>
      </c>
      <c r="E11" s="12">
        <v>7.0000000000000007E-2</v>
      </c>
      <c r="F11" s="13">
        <v>18</v>
      </c>
      <c r="G11" s="13" t="s">
        <v>49</v>
      </c>
      <c r="H11" s="13">
        <v>1</v>
      </c>
      <c r="I11" s="13">
        <v>6</v>
      </c>
      <c r="J11" s="13">
        <v>1</v>
      </c>
      <c r="K11" s="13" t="s">
        <v>50</v>
      </c>
      <c r="L11" s="14">
        <f>IF(J11&lt;=I11,D11*E11/12,-CUMIPMT(E11/12,F11-I11,D11,J11-I11,J11-I11,0))</f>
        <v>466.66666666666674</v>
      </c>
      <c r="M11" s="14">
        <f>IF(J11&lt;=I11,0,-CUMPRINC(E11/12,F11-I11,D11,J11-I11,J11-I11,0))</f>
        <v>0</v>
      </c>
      <c r="N11" s="14">
        <f t="shared" si="0"/>
        <v>466.66666666666674</v>
      </c>
      <c r="O11" s="10" t="s">
        <v>51</v>
      </c>
      <c r="P11" s="15">
        <f>IF(J11&lt;=I11,D11*E11/12,-CUMIPMT(E11/12,F11-I11,D11,J11-I11,J11-I11,0))</f>
        <v>466.66666666666674</v>
      </c>
      <c r="Q11" s="15">
        <f>IF(J11&lt;=I11,0,-CUMPRINC(E11/12,F11-I11,D11,J11-I11,J11-I11,0))</f>
        <v>0</v>
      </c>
      <c r="R11" s="13" t="str">
        <f t="shared" si="1"/>
        <v>OK</v>
      </c>
    </row>
    <row r="12" spans="1:18" ht="29" x14ac:dyDescent="0.2">
      <c r="A12" s="4" t="s">
        <v>46</v>
      </c>
      <c r="B12" s="4" t="s">
        <v>52</v>
      </c>
      <c r="C12" s="4" t="s">
        <v>48</v>
      </c>
      <c r="D12" s="5">
        <v>80000</v>
      </c>
      <c r="E12" s="6">
        <v>7.0000000000000007E-2</v>
      </c>
      <c r="F12" s="7">
        <v>18</v>
      </c>
      <c r="G12" s="7" t="s">
        <v>49</v>
      </c>
      <c r="H12" s="7">
        <v>1</v>
      </c>
      <c r="I12" s="7">
        <v>6</v>
      </c>
      <c r="J12" s="7">
        <v>7</v>
      </c>
      <c r="K12" s="7" t="s">
        <v>32</v>
      </c>
      <c r="L12" s="8">
        <f>IF(J12&lt;=I12,D12*E12/12,-CUMIPMT(E12/12,F12-I12,D12,J12-I12,J12-I12,0))</f>
        <v>466.66666666666515</v>
      </c>
      <c r="M12" s="8">
        <f>IF(J12&lt;=I12,0,-CUMPRINC(E12/12,F12-I12,D12,J12-I12,J12-I12,0))</f>
        <v>6455.4730211843789</v>
      </c>
      <c r="N12" s="8">
        <f t="shared" si="0"/>
        <v>6922.1396878510441</v>
      </c>
      <c r="O12" s="4" t="s">
        <v>53</v>
      </c>
      <c r="P12" s="9">
        <f>IF(J12&lt;=I12,D12*E12/12,-CUMIPMT(E12/12,F12-I12,D12,J12-I12,J12-I12,0))</f>
        <v>466.66666666666515</v>
      </c>
      <c r="Q12" s="9">
        <f>IF(J12&lt;=I12,0,-CUMPRINC(E12/12,F12-I12,D12,J12-I12,J12-I12,0))</f>
        <v>6455.4730211843789</v>
      </c>
      <c r="R12" s="7" t="str">
        <f t="shared" si="1"/>
        <v>OK</v>
      </c>
    </row>
    <row r="14" spans="1:18" x14ac:dyDescent="0.2">
      <c r="A14" t="s">
        <v>237</v>
      </c>
    </row>
    <row r="15" spans="1:18" x14ac:dyDescent="0.2">
      <c r="A15" t="s">
        <v>238</v>
      </c>
    </row>
  </sheetData>
  <mergeCells count="2">
    <mergeCell ref="A1:R1"/>
    <mergeCell ref="A2:R2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3"/>
  <sheetViews>
    <sheetView zoomScaleNormal="100" workbookViewId="0">
      <pane ySplit="3" topLeftCell="A4" activePane="bottomLeft" state="frozen"/>
      <selection pane="bottomLeft" activeCell="A14" sqref="A14"/>
    </sheetView>
  </sheetViews>
  <sheetFormatPr baseColWidth="10" defaultColWidth="8.6640625" defaultRowHeight="15" x14ac:dyDescent="0.2"/>
  <cols>
    <col min="1" max="1" width="8" customWidth="1"/>
    <col min="2" max="2" width="32" customWidth="1"/>
    <col min="3" max="3" width="14" customWidth="1"/>
    <col min="4" max="4" width="12" customWidth="1"/>
    <col min="5" max="5" width="10" customWidth="1"/>
    <col min="6" max="6" width="8" customWidth="1"/>
    <col min="7" max="7" width="13" customWidth="1"/>
    <col min="8" max="8" width="28" customWidth="1"/>
    <col min="9" max="9" width="20" customWidth="1"/>
    <col min="10" max="10" width="36" customWidth="1"/>
    <col min="11" max="11" width="12" customWidth="1"/>
    <col min="12" max="12" width="30" customWidth="1"/>
  </cols>
  <sheetData>
    <row r="1" spans="1:12" x14ac:dyDescent="0.2">
      <c r="A1" s="2" t="s">
        <v>54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x14ac:dyDescent="0.2">
      <c r="A2" s="2" t="s">
        <v>55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ht="30" customHeight="1" x14ac:dyDescent="0.2">
      <c r="A3" s="3" t="s">
        <v>2</v>
      </c>
      <c r="B3" s="3" t="s">
        <v>3</v>
      </c>
      <c r="C3" s="3" t="s">
        <v>56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57</v>
      </c>
      <c r="I3" s="3" t="s">
        <v>58</v>
      </c>
      <c r="J3" s="3" t="s">
        <v>59</v>
      </c>
      <c r="K3" s="3" t="s">
        <v>60</v>
      </c>
      <c r="L3" s="3" t="s">
        <v>16</v>
      </c>
    </row>
    <row r="4" spans="1:12" x14ac:dyDescent="0.2">
      <c r="A4" s="4" t="s">
        <v>61</v>
      </c>
      <c r="B4" s="4" t="s">
        <v>62</v>
      </c>
      <c r="C4" s="4" t="s">
        <v>22</v>
      </c>
      <c r="D4" s="5">
        <v>100000</v>
      </c>
      <c r="E4" s="6">
        <v>0.06</v>
      </c>
      <c r="F4" s="7">
        <v>12</v>
      </c>
      <c r="G4" s="7" t="s">
        <v>23</v>
      </c>
      <c r="H4" s="4" t="s">
        <v>63</v>
      </c>
      <c r="I4" s="8">
        <f>D4</f>
        <v>100000</v>
      </c>
      <c r="J4" s="4" t="s">
        <v>64</v>
      </c>
      <c r="K4" s="5">
        <v>0.01</v>
      </c>
      <c r="L4" s="4"/>
    </row>
    <row r="5" spans="1:12" x14ac:dyDescent="0.2">
      <c r="A5" s="10" t="s">
        <v>65</v>
      </c>
      <c r="B5" s="10" t="s">
        <v>66</v>
      </c>
      <c r="C5" s="10" t="s">
        <v>22</v>
      </c>
      <c r="D5" s="11">
        <v>100000</v>
      </c>
      <c r="E5" s="12">
        <v>0.06</v>
      </c>
      <c r="F5" s="13">
        <v>12</v>
      </c>
      <c r="G5" s="13" t="s">
        <v>23</v>
      </c>
      <c r="H5" s="10" t="s">
        <v>67</v>
      </c>
      <c r="I5" s="14">
        <f>D5-20000</f>
        <v>80000</v>
      </c>
      <c r="J5" s="10" t="s">
        <v>68</v>
      </c>
      <c r="K5" s="11">
        <v>0.01</v>
      </c>
      <c r="L5" s="10"/>
    </row>
    <row r="6" spans="1:12" x14ac:dyDescent="0.2">
      <c r="A6" s="4" t="s">
        <v>69</v>
      </c>
      <c r="B6" s="4" t="s">
        <v>70</v>
      </c>
      <c r="C6" s="4" t="s">
        <v>22</v>
      </c>
      <c r="D6" s="5">
        <v>100000</v>
      </c>
      <c r="E6" s="6">
        <v>0.06</v>
      </c>
      <c r="F6" s="7">
        <v>12</v>
      </c>
      <c r="G6" s="7" t="s">
        <v>23</v>
      </c>
      <c r="H6" s="4" t="s">
        <v>71</v>
      </c>
      <c r="I6" s="8">
        <f>D6-20000-10000</f>
        <v>70000</v>
      </c>
      <c r="J6" s="4" t="s">
        <v>72</v>
      </c>
      <c r="K6" s="5">
        <v>0.01</v>
      </c>
      <c r="L6" s="4"/>
    </row>
    <row r="7" spans="1:12" x14ac:dyDescent="0.2">
      <c r="A7" s="10" t="s">
        <v>73</v>
      </c>
      <c r="B7" s="10" t="s">
        <v>74</v>
      </c>
      <c r="C7" s="10" t="s">
        <v>35</v>
      </c>
      <c r="D7" s="11">
        <v>100000</v>
      </c>
      <c r="E7" s="12">
        <v>0.06</v>
      </c>
      <c r="F7" s="13">
        <v>12</v>
      </c>
      <c r="G7" s="13" t="s">
        <v>23</v>
      </c>
      <c r="H7" s="10" t="s">
        <v>63</v>
      </c>
      <c r="I7" s="14">
        <f>D7</f>
        <v>100000</v>
      </c>
      <c r="J7" s="10" t="s">
        <v>75</v>
      </c>
      <c r="K7" s="11">
        <v>0.01</v>
      </c>
      <c r="L7" s="10"/>
    </row>
    <row r="8" spans="1:12" ht="29" x14ac:dyDescent="0.2">
      <c r="A8" s="4" t="s">
        <v>76</v>
      </c>
      <c r="B8" s="4" t="s">
        <v>77</v>
      </c>
      <c r="C8" s="4" t="s">
        <v>35</v>
      </c>
      <c r="D8" s="5">
        <v>100000</v>
      </c>
      <c r="E8" s="6">
        <v>0.06</v>
      </c>
      <c r="F8" s="7">
        <v>12</v>
      </c>
      <c r="G8" s="7" t="s">
        <v>23</v>
      </c>
      <c r="H8" s="4" t="s">
        <v>78</v>
      </c>
      <c r="I8" s="8">
        <f>D8+CUMPRINC(E8/12,F8,D8,1,3,0)</f>
        <v>75558.268777240912</v>
      </c>
      <c r="J8" s="4" t="s">
        <v>79</v>
      </c>
      <c r="K8" s="5">
        <v>0.1</v>
      </c>
      <c r="L8" s="4" t="s">
        <v>80</v>
      </c>
    </row>
    <row r="9" spans="1:12" x14ac:dyDescent="0.2">
      <c r="A9" s="10" t="s">
        <v>81</v>
      </c>
      <c r="B9" s="10" t="s">
        <v>82</v>
      </c>
      <c r="C9" s="10" t="s">
        <v>35</v>
      </c>
      <c r="D9" s="11">
        <v>100000</v>
      </c>
      <c r="E9" s="12">
        <v>0.06</v>
      </c>
      <c r="F9" s="13">
        <v>12</v>
      </c>
      <c r="G9" s="13" t="s">
        <v>23</v>
      </c>
      <c r="H9" s="10" t="s">
        <v>83</v>
      </c>
      <c r="I9" s="14">
        <f>D9+CUMPRINC(E9/12,F9,D9,1,12,0)</f>
        <v>0</v>
      </c>
      <c r="J9" s="10" t="s">
        <v>84</v>
      </c>
      <c r="K9" s="11">
        <v>0.1</v>
      </c>
      <c r="L9" s="10"/>
    </row>
    <row r="10" spans="1:12" x14ac:dyDescent="0.2">
      <c r="A10" s="4" t="s">
        <v>85</v>
      </c>
      <c r="B10" s="4" t="s">
        <v>86</v>
      </c>
      <c r="C10" s="4" t="s">
        <v>35</v>
      </c>
      <c r="D10" s="5">
        <v>100000</v>
      </c>
      <c r="E10" s="6">
        <v>0.06</v>
      </c>
      <c r="F10" s="7">
        <v>12</v>
      </c>
      <c r="G10" s="7" t="s">
        <v>23</v>
      </c>
      <c r="H10" s="4" t="s">
        <v>87</v>
      </c>
      <c r="I10" s="8">
        <f>D10-30000+CUMPRINC(E10/12,F10,D10-30000,1,3,0)</f>
        <v>52890.78814406864</v>
      </c>
      <c r="J10" s="4" t="s">
        <v>88</v>
      </c>
      <c r="K10" s="5">
        <v>1</v>
      </c>
      <c r="L10" s="4" t="s">
        <v>89</v>
      </c>
    </row>
    <row r="12" spans="1:12" x14ac:dyDescent="0.2">
      <c r="A12" t="s">
        <v>235</v>
      </c>
    </row>
    <row r="13" spans="1:12" x14ac:dyDescent="0.2">
      <c r="A13" t="s">
        <v>236</v>
      </c>
    </row>
  </sheetData>
  <mergeCells count="2">
    <mergeCell ref="A1:L1"/>
    <mergeCell ref="A2:L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9"/>
  <sheetViews>
    <sheetView zoomScaleNormal="100" workbookViewId="0">
      <pane ySplit="3" topLeftCell="A4" activePane="bottomLeft" state="frozen"/>
      <selection pane="bottomLeft" sqref="A1:K1"/>
    </sheetView>
  </sheetViews>
  <sheetFormatPr baseColWidth="10" defaultColWidth="8.6640625" defaultRowHeight="15" x14ac:dyDescent="0.2"/>
  <cols>
    <col min="1" max="1" width="8" customWidth="1"/>
    <col min="2" max="2" width="32" customWidth="1"/>
    <col min="3" max="3" width="14" customWidth="1"/>
    <col min="4" max="4" width="12" customWidth="1"/>
    <col min="5" max="5" width="10" customWidth="1"/>
    <col min="6" max="6" width="8" customWidth="1"/>
    <col min="7" max="7" width="13" customWidth="1"/>
    <col min="8" max="8" width="14" customWidth="1"/>
    <col min="9" max="9" width="28" customWidth="1"/>
    <col min="10" max="10" width="16" customWidth="1"/>
    <col min="11" max="11" width="40" customWidth="1"/>
  </cols>
  <sheetData>
    <row r="1" spans="1:11" x14ac:dyDescent="0.2">
      <c r="A1" s="2" t="s">
        <v>90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x14ac:dyDescent="0.2">
      <c r="A2" s="2" t="s">
        <v>91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ht="30" customHeight="1" x14ac:dyDescent="0.2">
      <c r="A3" s="3" t="s">
        <v>2</v>
      </c>
      <c r="B3" s="3" t="s">
        <v>3</v>
      </c>
      <c r="C3" s="3" t="s">
        <v>56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92</v>
      </c>
      <c r="I3" s="3" t="s">
        <v>93</v>
      </c>
      <c r="J3" s="3" t="s">
        <v>94</v>
      </c>
      <c r="K3" s="3" t="s">
        <v>16</v>
      </c>
    </row>
    <row r="4" spans="1:11" x14ac:dyDescent="0.2">
      <c r="A4" s="4" t="s">
        <v>95</v>
      </c>
      <c r="B4" s="4" t="s">
        <v>96</v>
      </c>
      <c r="C4" s="4" t="s">
        <v>22</v>
      </c>
      <c r="D4" s="5">
        <v>50000</v>
      </c>
      <c r="E4" s="6">
        <v>0.06</v>
      </c>
      <c r="F4" s="7">
        <v>12</v>
      </c>
      <c r="G4" s="7" t="s">
        <v>49</v>
      </c>
      <c r="H4" s="4" t="s">
        <v>97</v>
      </c>
      <c r="I4" s="4" t="s">
        <v>63</v>
      </c>
      <c r="J4" s="16" t="s">
        <v>98</v>
      </c>
      <c r="K4" s="4" t="s">
        <v>99</v>
      </c>
    </row>
    <row r="5" spans="1:11" x14ac:dyDescent="0.2">
      <c r="A5" s="10" t="s">
        <v>100</v>
      </c>
      <c r="B5" s="10" t="s">
        <v>101</v>
      </c>
      <c r="C5" s="10" t="s">
        <v>22</v>
      </c>
      <c r="D5" s="11">
        <v>50000</v>
      </c>
      <c r="E5" s="12">
        <v>0.06</v>
      </c>
      <c r="F5" s="13">
        <v>12</v>
      </c>
      <c r="G5" s="13" t="s">
        <v>49</v>
      </c>
      <c r="H5" s="10" t="s">
        <v>102</v>
      </c>
      <c r="I5" s="10" t="s">
        <v>63</v>
      </c>
      <c r="J5" s="16" t="s">
        <v>98</v>
      </c>
      <c r="K5" s="10" t="s">
        <v>103</v>
      </c>
    </row>
    <row r="6" spans="1:11" x14ac:dyDescent="0.2">
      <c r="A6" s="4" t="s">
        <v>104</v>
      </c>
      <c r="B6" s="4" t="s">
        <v>105</v>
      </c>
      <c r="C6" s="4" t="s">
        <v>22</v>
      </c>
      <c r="D6" s="5">
        <v>50000</v>
      </c>
      <c r="E6" s="6">
        <v>0.06</v>
      </c>
      <c r="F6" s="7">
        <v>12</v>
      </c>
      <c r="G6" s="7" t="s">
        <v>106</v>
      </c>
      <c r="H6" s="4" t="s">
        <v>107</v>
      </c>
      <c r="I6" s="4" t="s">
        <v>63</v>
      </c>
      <c r="J6" s="17" t="s">
        <v>108</v>
      </c>
      <c r="K6" s="4" t="s">
        <v>109</v>
      </c>
    </row>
    <row r="7" spans="1:11" x14ac:dyDescent="0.2">
      <c r="A7" s="10" t="s">
        <v>110</v>
      </c>
      <c r="B7" s="10" t="s">
        <v>111</v>
      </c>
      <c r="C7" s="10" t="s">
        <v>22</v>
      </c>
      <c r="D7" s="11">
        <v>100000</v>
      </c>
      <c r="E7" s="12">
        <v>0.06</v>
      </c>
      <c r="F7" s="13">
        <v>12</v>
      </c>
      <c r="G7" s="13" t="s">
        <v>23</v>
      </c>
      <c r="H7" s="10" t="s">
        <v>107</v>
      </c>
      <c r="I7" s="10" t="s">
        <v>112</v>
      </c>
      <c r="J7" s="17" t="s">
        <v>108</v>
      </c>
      <c r="K7" s="10" t="s">
        <v>113</v>
      </c>
    </row>
    <row r="8" spans="1:11" x14ac:dyDescent="0.2">
      <c r="A8" s="4" t="s">
        <v>114</v>
      </c>
      <c r="B8" s="4" t="s">
        <v>115</v>
      </c>
      <c r="C8" s="4" t="s">
        <v>22</v>
      </c>
      <c r="D8" s="5">
        <v>50000</v>
      </c>
      <c r="E8" s="6">
        <v>0.06</v>
      </c>
      <c r="F8" s="7">
        <v>24</v>
      </c>
      <c r="G8" s="7" t="s">
        <v>116</v>
      </c>
      <c r="H8" s="4" t="s">
        <v>107</v>
      </c>
      <c r="I8" s="4" t="s">
        <v>63</v>
      </c>
      <c r="J8" s="18" t="s">
        <v>117</v>
      </c>
      <c r="K8" s="4" t="s">
        <v>118</v>
      </c>
    </row>
    <row r="9" spans="1:11" x14ac:dyDescent="0.2">
      <c r="A9" s="10" t="s">
        <v>119</v>
      </c>
      <c r="B9" s="10" t="s">
        <v>120</v>
      </c>
      <c r="C9" s="10" t="s">
        <v>22</v>
      </c>
      <c r="D9" s="11">
        <v>100000</v>
      </c>
      <c r="E9" s="12">
        <v>0.06</v>
      </c>
      <c r="F9" s="13">
        <v>12</v>
      </c>
      <c r="G9" s="13" t="s">
        <v>23</v>
      </c>
      <c r="H9" s="10" t="s">
        <v>107</v>
      </c>
      <c r="I9" s="10" t="s">
        <v>121</v>
      </c>
      <c r="J9" s="18" t="s">
        <v>117</v>
      </c>
      <c r="K9" s="10" t="s">
        <v>122</v>
      </c>
    </row>
  </sheetData>
  <mergeCells count="2">
    <mergeCell ref="A1:K1"/>
    <mergeCell ref="A2:K2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34"/>
  <sheetViews>
    <sheetView zoomScaleNormal="100" workbookViewId="0">
      <pane ySplit="4" topLeftCell="A5" activePane="bottomLeft" state="frozen"/>
      <selection pane="bottomLeft" sqref="A1:F1"/>
    </sheetView>
  </sheetViews>
  <sheetFormatPr baseColWidth="10" defaultColWidth="8.6640625" defaultRowHeight="15" x14ac:dyDescent="0.2"/>
  <cols>
    <col min="1" max="1" width="8" customWidth="1"/>
    <col min="2" max="2" width="16" customWidth="1"/>
    <col min="3" max="3" width="30" customWidth="1"/>
    <col min="4" max="4" width="18" customWidth="1"/>
    <col min="5" max="6" width="40" customWidth="1"/>
  </cols>
  <sheetData>
    <row r="1" spans="1:6" x14ac:dyDescent="0.2">
      <c r="A1" s="2" t="s">
        <v>123</v>
      </c>
      <c r="B1" s="2"/>
      <c r="C1" s="2"/>
      <c r="D1" s="2"/>
      <c r="E1" s="2"/>
      <c r="F1" s="2"/>
    </row>
    <row r="2" spans="1:6" ht="18" customHeight="1" x14ac:dyDescent="0.2">
      <c r="A2" s="1" t="s">
        <v>124</v>
      </c>
      <c r="B2" s="1"/>
      <c r="C2" s="1"/>
      <c r="D2" s="1"/>
      <c r="E2" s="1"/>
      <c r="F2" s="1"/>
    </row>
    <row r="3" spans="1:6" x14ac:dyDescent="0.2">
      <c r="A3" s="3" t="s">
        <v>125</v>
      </c>
      <c r="B3" s="3" t="s">
        <v>126</v>
      </c>
      <c r="C3" s="3" t="s">
        <v>127</v>
      </c>
      <c r="D3" s="3"/>
      <c r="E3" s="3"/>
      <c r="F3" s="3"/>
    </row>
    <row r="4" spans="1:6" ht="43" x14ac:dyDescent="0.2">
      <c r="A4" s="19" t="s">
        <v>128</v>
      </c>
      <c r="B4" s="4" t="s">
        <v>129</v>
      </c>
      <c r="C4" s="5">
        <v>100000</v>
      </c>
    </row>
    <row r="5" spans="1:6" x14ac:dyDescent="0.2">
      <c r="A5" s="20" t="s">
        <v>130</v>
      </c>
      <c r="B5" s="10" t="s">
        <v>131</v>
      </c>
      <c r="C5" s="11">
        <v>200000</v>
      </c>
    </row>
    <row r="6" spans="1:6" ht="43" x14ac:dyDescent="0.2">
      <c r="A6" s="19" t="s">
        <v>132</v>
      </c>
      <c r="B6" s="4" t="s">
        <v>133</v>
      </c>
      <c r="C6" s="5">
        <v>60000</v>
      </c>
    </row>
    <row r="7" spans="1:6" x14ac:dyDescent="0.2">
      <c r="A7" s="20" t="s">
        <v>134</v>
      </c>
      <c r="B7" s="10" t="s">
        <v>135</v>
      </c>
      <c r="C7" s="11">
        <v>90000</v>
      </c>
    </row>
    <row r="8" spans="1:6" ht="43" x14ac:dyDescent="0.2">
      <c r="A8" s="19" t="s">
        <v>136</v>
      </c>
      <c r="B8" s="4" t="s">
        <v>137</v>
      </c>
      <c r="C8" s="5">
        <v>80000</v>
      </c>
    </row>
    <row r="9" spans="1:6" x14ac:dyDescent="0.2">
      <c r="A9" s="20" t="s">
        <v>138</v>
      </c>
      <c r="B9" s="10" t="s">
        <v>139</v>
      </c>
      <c r="C9" s="11">
        <v>120000</v>
      </c>
    </row>
    <row r="10" spans="1:6" ht="29" x14ac:dyDescent="0.2">
      <c r="A10" s="19" t="s">
        <v>140</v>
      </c>
      <c r="B10" s="4" t="s">
        <v>141</v>
      </c>
      <c r="C10" s="5">
        <v>40000</v>
      </c>
    </row>
    <row r="11" spans="1:6" ht="29" x14ac:dyDescent="0.2">
      <c r="A11" s="20" t="s">
        <v>142</v>
      </c>
      <c r="B11" s="10" t="s">
        <v>143</v>
      </c>
      <c r="C11" s="11">
        <v>30000</v>
      </c>
    </row>
    <row r="12" spans="1:6" ht="29" x14ac:dyDescent="0.2">
      <c r="A12" s="19" t="s">
        <v>144</v>
      </c>
      <c r="B12" s="4" t="s">
        <v>145</v>
      </c>
      <c r="C12" s="5">
        <v>20000</v>
      </c>
    </row>
    <row r="13" spans="1:6" ht="57" x14ac:dyDescent="0.2">
      <c r="A13" s="20" t="s">
        <v>146</v>
      </c>
      <c r="B13" s="10" t="s">
        <v>147</v>
      </c>
      <c r="C13" s="14">
        <f>60000+CUMPRINC(8%/12,24,60000,1,3,0)</f>
        <v>53012.711959806664</v>
      </c>
    </row>
    <row r="15" spans="1:6" ht="18" customHeight="1" x14ac:dyDescent="0.2">
      <c r="A15" s="1" t="s">
        <v>148</v>
      </c>
      <c r="B15" s="1"/>
      <c r="C15" s="1"/>
      <c r="D15" s="1"/>
      <c r="E15" s="1"/>
      <c r="F15" s="1"/>
    </row>
    <row r="16" spans="1:6" x14ac:dyDescent="0.2">
      <c r="A16" s="3" t="s">
        <v>149</v>
      </c>
      <c r="B16" s="3" t="s">
        <v>150</v>
      </c>
      <c r="C16" s="3" t="s">
        <v>151</v>
      </c>
      <c r="D16" s="3" t="s">
        <v>152</v>
      </c>
      <c r="E16" s="3" t="s">
        <v>153</v>
      </c>
      <c r="F16" s="3" t="s">
        <v>16</v>
      </c>
    </row>
    <row r="17" spans="1:6" ht="29" x14ac:dyDescent="0.2">
      <c r="A17" s="21" t="s">
        <v>154</v>
      </c>
      <c r="B17" s="22" t="s">
        <v>155</v>
      </c>
      <c r="C17" s="22" t="s">
        <v>156</v>
      </c>
      <c r="D17" s="23">
        <f>C4+C6+C8</f>
        <v>240000</v>
      </c>
      <c r="E17" s="24">
        <f>C4+C6+C8</f>
        <v>240000</v>
      </c>
      <c r="F17" s="22" t="s">
        <v>157</v>
      </c>
    </row>
    <row r="18" spans="1:6" ht="29" x14ac:dyDescent="0.2">
      <c r="A18" s="21" t="s">
        <v>158</v>
      </c>
      <c r="B18" s="22" t="s">
        <v>155</v>
      </c>
      <c r="C18" s="22" t="s">
        <v>159</v>
      </c>
      <c r="D18" s="23">
        <f>C4+C13+C8</f>
        <v>233012.71195980668</v>
      </c>
      <c r="E18" s="24">
        <f>C4+C13+C8</f>
        <v>233012.71195980668</v>
      </c>
      <c r="F18" s="22" t="s">
        <v>160</v>
      </c>
    </row>
    <row r="19" spans="1:6" x14ac:dyDescent="0.2">
      <c r="A19" s="21" t="s">
        <v>161</v>
      </c>
      <c r="B19" s="22" t="s">
        <v>155</v>
      </c>
      <c r="C19" s="22" t="s">
        <v>162</v>
      </c>
      <c r="D19" s="23">
        <f>C4+C13</f>
        <v>153012.71195980668</v>
      </c>
      <c r="E19" s="24">
        <f>C4+C13</f>
        <v>153012.71195980668</v>
      </c>
      <c r="F19" s="22" t="s">
        <v>163</v>
      </c>
    </row>
    <row r="20" spans="1:6" x14ac:dyDescent="0.2">
      <c r="A20" s="21" t="s">
        <v>164</v>
      </c>
      <c r="B20" s="22" t="s">
        <v>155</v>
      </c>
      <c r="C20" s="22" t="s">
        <v>165</v>
      </c>
      <c r="D20" s="23">
        <f>C8</f>
        <v>80000</v>
      </c>
      <c r="E20" s="25">
        <f>C8</f>
        <v>80000</v>
      </c>
      <c r="F20" s="22" t="s">
        <v>166</v>
      </c>
    </row>
    <row r="21" spans="1:6" x14ac:dyDescent="0.2">
      <c r="A21" s="21" t="s">
        <v>167</v>
      </c>
      <c r="B21" s="22" t="s">
        <v>155</v>
      </c>
      <c r="C21" s="22" t="s">
        <v>168</v>
      </c>
      <c r="D21" s="26">
        <f>C8/(C4+C6+C8)</f>
        <v>0.33333333333333331</v>
      </c>
      <c r="E21" s="24">
        <f>C8/(C4+C6+C8)</f>
        <v>0.33333333333333331</v>
      </c>
      <c r="F21" s="22" t="s">
        <v>169</v>
      </c>
    </row>
    <row r="22" spans="1:6" x14ac:dyDescent="0.2">
      <c r="A22" s="21" t="s">
        <v>170</v>
      </c>
      <c r="B22" s="22" t="s">
        <v>155</v>
      </c>
      <c r="C22" s="22" t="s">
        <v>171</v>
      </c>
      <c r="D22" s="23">
        <f>C10+C11</f>
        <v>70000</v>
      </c>
      <c r="E22" s="24">
        <f>C10+C11</f>
        <v>70000</v>
      </c>
      <c r="F22" s="22" t="s">
        <v>172</v>
      </c>
    </row>
    <row r="23" spans="1:6" x14ac:dyDescent="0.2">
      <c r="A23" s="27" t="s">
        <v>173</v>
      </c>
      <c r="B23" s="28" t="s">
        <v>174</v>
      </c>
      <c r="C23" s="28" t="s">
        <v>175</v>
      </c>
      <c r="D23" s="29">
        <f>3</f>
        <v>3</v>
      </c>
      <c r="E23" s="30">
        <f>3</f>
        <v>3</v>
      </c>
      <c r="F23" s="28" t="s">
        <v>176</v>
      </c>
    </row>
    <row r="24" spans="1:6" x14ac:dyDescent="0.2">
      <c r="A24" s="27" t="s">
        <v>177</v>
      </c>
      <c r="B24" s="28" t="s">
        <v>174</v>
      </c>
      <c r="C24" s="28" t="s">
        <v>178</v>
      </c>
      <c r="D24" s="29">
        <f>0</f>
        <v>0</v>
      </c>
      <c r="E24" s="30">
        <f>0</f>
        <v>0</v>
      </c>
      <c r="F24" s="28" t="s">
        <v>179</v>
      </c>
    </row>
    <row r="25" spans="1:6" x14ac:dyDescent="0.2">
      <c r="A25" s="27" t="s">
        <v>180</v>
      </c>
      <c r="B25" s="28" t="s">
        <v>174</v>
      </c>
      <c r="C25" s="28" t="s">
        <v>181</v>
      </c>
      <c r="D25" s="29">
        <f>3</f>
        <v>3</v>
      </c>
      <c r="E25" s="30">
        <f>3</f>
        <v>3</v>
      </c>
      <c r="F25" s="28" t="s">
        <v>176</v>
      </c>
    </row>
    <row r="26" spans="1:6" x14ac:dyDescent="0.2">
      <c r="A26" s="27" t="s">
        <v>182</v>
      </c>
      <c r="B26" s="28" t="s">
        <v>174</v>
      </c>
      <c r="C26" s="28" t="s">
        <v>183</v>
      </c>
      <c r="D26" s="29">
        <f>1</f>
        <v>1</v>
      </c>
      <c r="E26" s="30">
        <f>1</f>
        <v>1</v>
      </c>
      <c r="F26" s="28" t="s">
        <v>184</v>
      </c>
    </row>
    <row r="27" spans="1:6" x14ac:dyDescent="0.2">
      <c r="A27" s="27" t="s">
        <v>185</v>
      </c>
      <c r="B27" s="28" t="s">
        <v>174</v>
      </c>
      <c r="C27" s="28" t="s">
        <v>186</v>
      </c>
      <c r="D27" s="29">
        <f>2</f>
        <v>2</v>
      </c>
      <c r="E27" s="30">
        <f>2</f>
        <v>2</v>
      </c>
      <c r="F27" s="28" t="s">
        <v>187</v>
      </c>
    </row>
    <row r="28" spans="1:6" x14ac:dyDescent="0.2">
      <c r="A28" s="31" t="s">
        <v>188</v>
      </c>
      <c r="B28" s="32" t="s">
        <v>189</v>
      </c>
      <c r="C28" s="32" t="s">
        <v>190</v>
      </c>
      <c r="D28" s="33">
        <f>C5+C7+C9</f>
        <v>410000</v>
      </c>
      <c r="E28" s="34">
        <f>C5+C7+C9</f>
        <v>410000</v>
      </c>
      <c r="F28" s="32" t="s">
        <v>191</v>
      </c>
    </row>
    <row r="29" spans="1:6" x14ac:dyDescent="0.2">
      <c r="A29" s="31" t="s">
        <v>192</v>
      </c>
      <c r="B29" s="32" t="s">
        <v>189</v>
      </c>
      <c r="C29" s="32" t="s">
        <v>193</v>
      </c>
      <c r="D29" s="35">
        <f>(C4+C13+C8)/(C5+C7+C9)</f>
        <v>0.5683236877068456</v>
      </c>
      <c r="E29" s="34">
        <f>(C4+C13+C8)/(C5+C7+C9)</f>
        <v>0.5683236877068456</v>
      </c>
      <c r="F29" s="32" t="s">
        <v>194</v>
      </c>
    </row>
    <row r="30" spans="1:6" x14ac:dyDescent="0.2">
      <c r="A30" s="31" t="s">
        <v>195</v>
      </c>
      <c r="B30" s="32" t="s">
        <v>189</v>
      </c>
      <c r="C30" s="32" t="s">
        <v>196</v>
      </c>
      <c r="D30" s="33">
        <f>C5*C10/C4+C7*C11/C6+C9*C12/C8</f>
        <v>155000</v>
      </c>
      <c r="E30" s="34">
        <f>C5*C10/C4+C7*C11/C6+C9*C12/C8</f>
        <v>155000</v>
      </c>
      <c r="F30" s="32" t="s">
        <v>197</v>
      </c>
    </row>
    <row r="31" spans="1:6" x14ac:dyDescent="0.2">
      <c r="A31" s="31" t="s">
        <v>198</v>
      </c>
      <c r="B31" s="32" t="s">
        <v>189</v>
      </c>
      <c r="C31" s="32" t="s">
        <v>199</v>
      </c>
      <c r="D31" s="35">
        <f>(C10+C11+C12)/(C5*C10/C4+C7*C11/C6+C9*C12/C8)</f>
        <v>0.58064516129032262</v>
      </c>
      <c r="E31" s="34">
        <f>(C10+C11+C12)/(C5*C10/C4+C7*C11/C6+C9*C12/C8)</f>
        <v>0.58064516129032262</v>
      </c>
      <c r="F31" s="32" t="s">
        <v>200</v>
      </c>
    </row>
    <row r="32" spans="1:6" x14ac:dyDescent="0.2">
      <c r="A32" s="36" t="s">
        <v>201</v>
      </c>
      <c r="B32" s="37" t="s">
        <v>202</v>
      </c>
      <c r="C32" s="37" t="s">
        <v>203</v>
      </c>
      <c r="D32" s="38" t="s">
        <v>204</v>
      </c>
      <c r="E32" s="39" t="s">
        <v>204</v>
      </c>
      <c r="F32" s="37" t="s">
        <v>205</v>
      </c>
    </row>
    <row r="33" spans="1:6" x14ac:dyDescent="0.2">
      <c r="A33" s="36" t="s">
        <v>206</v>
      </c>
      <c r="B33" s="37" t="s">
        <v>202</v>
      </c>
      <c r="C33" s="37" t="s">
        <v>207</v>
      </c>
      <c r="D33" s="38" t="s">
        <v>208</v>
      </c>
      <c r="E33" s="39" t="s">
        <v>208</v>
      </c>
      <c r="F33" s="37" t="s">
        <v>209</v>
      </c>
    </row>
    <row r="34" spans="1:6" x14ac:dyDescent="0.2">
      <c r="A34" s="36" t="s">
        <v>210</v>
      </c>
      <c r="B34" s="37" t="s">
        <v>202</v>
      </c>
      <c r="C34" s="37" t="s">
        <v>211</v>
      </c>
      <c r="D34" s="38" t="s">
        <v>204</v>
      </c>
      <c r="E34" s="39" t="s">
        <v>204</v>
      </c>
      <c r="F34" s="37" t="s">
        <v>166</v>
      </c>
    </row>
  </sheetData>
  <mergeCells count="3">
    <mergeCell ref="A1:F1"/>
    <mergeCell ref="A2:F2"/>
    <mergeCell ref="A15:F15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8"/>
  <sheetViews>
    <sheetView zoomScaleNormal="100" workbookViewId="0">
      <selection activeCell="A10" sqref="A10"/>
    </sheetView>
  </sheetViews>
  <sheetFormatPr baseColWidth="10" defaultColWidth="8.6640625" defaultRowHeight="15" x14ac:dyDescent="0.2"/>
  <cols>
    <col min="1" max="1" width="110" customWidth="1"/>
  </cols>
  <sheetData>
    <row r="1" spans="1:1" ht="17" x14ac:dyDescent="0.2">
      <c r="A1" s="40" t="s">
        <v>212</v>
      </c>
    </row>
    <row r="2" spans="1:1" x14ac:dyDescent="0.2">
      <c r="A2" s="41"/>
    </row>
    <row r="3" spans="1:1" x14ac:dyDescent="0.2">
      <c r="A3" s="42" t="s">
        <v>213</v>
      </c>
    </row>
    <row r="4" spans="1:1" x14ac:dyDescent="0.2">
      <c r="A4" s="41" t="s">
        <v>214</v>
      </c>
    </row>
    <row r="5" spans="1:1" x14ac:dyDescent="0.2">
      <c r="A5" s="41" t="s">
        <v>215</v>
      </c>
    </row>
    <row r="6" spans="1:1" x14ac:dyDescent="0.2">
      <c r="A6" s="41" t="s">
        <v>216</v>
      </c>
    </row>
    <row r="7" spans="1:1" x14ac:dyDescent="0.2">
      <c r="A7" s="41" t="s">
        <v>217</v>
      </c>
    </row>
    <row r="8" spans="1:1" x14ac:dyDescent="0.2">
      <c r="A8" s="41"/>
    </row>
    <row r="9" spans="1:1" x14ac:dyDescent="0.2">
      <c r="A9" s="42" t="s">
        <v>218</v>
      </c>
    </row>
    <row r="10" spans="1:1" x14ac:dyDescent="0.2">
      <c r="A10" s="41" t="s">
        <v>219</v>
      </c>
    </row>
    <row r="11" spans="1:1" x14ac:dyDescent="0.2">
      <c r="A11" s="41" t="s">
        <v>220</v>
      </c>
    </row>
    <row r="12" spans="1:1" x14ac:dyDescent="0.2">
      <c r="A12" s="41" t="s">
        <v>221</v>
      </c>
    </row>
    <row r="13" spans="1:1" x14ac:dyDescent="0.2">
      <c r="A13" s="41"/>
    </row>
    <row r="14" spans="1:1" x14ac:dyDescent="0.2">
      <c r="A14" s="42" t="s">
        <v>222</v>
      </c>
    </row>
    <row r="15" spans="1:1" x14ac:dyDescent="0.2">
      <c r="A15" s="41" t="s">
        <v>223</v>
      </c>
    </row>
    <row r="16" spans="1:1" x14ac:dyDescent="0.2">
      <c r="A16" s="41" t="s">
        <v>224</v>
      </c>
    </row>
    <row r="17" spans="1:1" x14ac:dyDescent="0.2">
      <c r="A17" s="41" t="s">
        <v>225</v>
      </c>
    </row>
    <row r="18" spans="1:1" x14ac:dyDescent="0.2">
      <c r="A18" s="41" t="s">
        <v>226</v>
      </c>
    </row>
    <row r="19" spans="1:1" x14ac:dyDescent="0.2">
      <c r="A19" s="41" t="s">
        <v>227</v>
      </c>
    </row>
    <row r="20" spans="1:1" x14ac:dyDescent="0.2">
      <c r="A20" s="41"/>
    </row>
    <row r="21" spans="1:1" x14ac:dyDescent="0.2">
      <c r="A21" s="42" t="s">
        <v>228</v>
      </c>
    </row>
    <row r="22" spans="1:1" x14ac:dyDescent="0.2">
      <c r="A22" s="42" t="s">
        <v>229</v>
      </c>
    </row>
    <row r="23" spans="1:1" x14ac:dyDescent="0.2">
      <c r="A23" s="41" t="s">
        <v>230</v>
      </c>
    </row>
    <row r="24" spans="1:1" x14ac:dyDescent="0.2">
      <c r="A24" s="41" t="s">
        <v>231</v>
      </c>
    </row>
    <row r="25" spans="1:1" x14ac:dyDescent="0.2">
      <c r="A25" s="41"/>
    </row>
    <row r="26" spans="1:1" x14ac:dyDescent="0.2">
      <c r="A26" s="42" t="s">
        <v>232</v>
      </c>
    </row>
    <row r="27" spans="1:1" x14ac:dyDescent="0.2">
      <c r="A27" s="41" t="s">
        <v>233</v>
      </c>
    </row>
    <row r="28" spans="1:1" x14ac:dyDescent="0.2">
      <c r="A28" s="41" t="s">
        <v>234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1_Calendario</vt:lpstr>
      <vt:lpstr>2_Capital_Activo</vt:lpstr>
      <vt:lpstr>3_Situacion</vt:lpstr>
      <vt:lpstr>4_KPIs_Dashboard</vt:lpstr>
      <vt:lpstr>5_Instrucciones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Narcís Magriñà</cp:lastModifiedBy>
  <cp:revision>0</cp:revision>
  <dcterms:created xsi:type="dcterms:W3CDTF">2026-03-15T16:30:11Z</dcterms:created>
  <dcterms:modified xsi:type="dcterms:W3CDTF">2026-03-15T16:41:54Z</dcterms:modified>
  <dc:language>en-US</dc:language>
</cp:coreProperties>
</file>